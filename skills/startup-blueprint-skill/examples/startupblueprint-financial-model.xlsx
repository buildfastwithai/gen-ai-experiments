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4f6c84d834c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a3e38c19cbb4c88"/>
    <x:sheet xmlns:r="http://schemas.openxmlformats.org/officeDocument/2006/relationships" name="Inputs" sheetId="2" r:id="R9adb1c22e453470b"/>
    <x:sheet xmlns:r="http://schemas.openxmlformats.org/officeDocument/2006/relationships" name="Pricing" sheetId="3" r:id="R4c194121aca64315"/>
    <x:sheet xmlns:r="http://schemas.openxmlformats.org/officeDocument/2006/relationships" name="Scenarios" sheetId="4" r:id="R1d9ebf9dcc244bfe"/>
    <x:sheet xmlns:r="http://schemas.openxmlformats.org/officeDocument/2006/relationships" name="12-Month Forecast" sheetId="5" r:id="Rea5d810d9c754006"/>
    <x:sheet xmlns:r="http://schemas.openxmlformats.org/officeDocument/2006/relationships" name="Unit Economics" sheetId="6" r:id="Rc934b1a694fb4f7a"/>
    <x:sheet xmlns:r="http://schemas.openxmlformats.org/officeDocument/2006/relationships" name="Sources &amp; Assumptions" sheetId="7" r:id="Rc5dbdf4ed68a44fd"/>
    <x:sheet xmlns:r="http://schemas.openxmlformats.org/officeDocument/2006/relationships" name="Checks" sheetId="8" r:id="R2a486077d5ce4eec"/>
  </x:sheets>
</x:workbook>
</file>

<file path=xl/comments1.xml><?xml version="1.0" encoding="utf-8"?>
<x:comments xmlns:x="http://schemas.openxmlformats.org/spreadsheetml/2006/main">
  <x:authors>
    <x:author>tc={C5F92C77-16B1-C283-B483-73C30BECCD7C}</x:author>
    <x:author>tc={94579319-B146-BF1D-FE59-2A10C29AE10D}</x:author>
    <x:author>tc={69FF5A9E-96B6-423B-0DF5-E4206009B71E}</x:author>
    <x:author>tc={E0CB5175-67CF-0D83-8C31-4AE35D2134FF}</x:author>
    <x:author>tc={01AD6465-7AAE-8141-BDC1-F1DB25B73C82}</x:author>
    <x:author>tc={8ABCE765-A1E5-8E17-D921-65730EE8406D}</x:author>
    <x:author>tc={8CE85A38-41F9-0618-47CF-31F52029C379}</x:author>
    <x:author>tc={8F410C20-1BEF-8F57-F47E-E392C5C72D84}</x:author>
    <x:author>tc={06EF3FF8-225A-5CC8-C009-9B1F25C25142}</x:author>
    <x:author>tc={EBEA382F-C080-0C81-E47A-61B0E8299794}</x:author>
    <x:author>tc={B4DAF1B7-B9DE-77EE-D404-5865D424C908}</x:author>
    <x:author>tc={87CD5116-E920-1746-677D-F86AB608FAEB}</x:author>
    <x:author>tc={EC95A245-C492-9546-4747-628041E3F3C1}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· No private user count supplied; model starts from a clean cohort for testability.</x:t>
        </x:r>
      </x:text>
    </x:comment>
    <x:comment ref="B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· No private paid-customer count supplied; model starts from a clean cohort.</x:t>
        </x:r>
      </x:text>
    </x:comment>
    <x:comment ref="B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· Placeholder for early targeted developer acquisition; replace with dashboard cohort data. · https://docs.sarvam.ai/api/getting-started/welcome</x:t>
        </x:r>
      </x:text>
    </x:comment>
    <x:comment ref="B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· Conservative early conversion hypothesis for credit-led developer evaluation; must be measured by cohort.</x:t>
        </x:r>
      </x:text>
    </x:comment>
    <x:comment ref="B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· Named-account pilot hypothesis; validate through sales pipeline.</x:t>
        </x:r>
      </x:text>
    </x:comment>
    <x:comment ref="B1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· Placeholder for production account retention until cohort history exists.</x:t>
        </x:r>
      </x:text>
    </x:comment>
    <x:comment ref="B1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· Zero means workbook uses weighted public/hypothesis tier ARPU rather than overriding it. · https://www.sarvam.ai/api-pricing</x:t>
        </x:r>
      </x:text>
    </x:comment>
    <x:comment ref="B1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· Placeholder blended inference/support cost per paid account; replace with account-level usage and infra allocation.</x:t>
        </x:r>
      </x:text>
    </x:comment>
    <x:comment ref="B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· Placeholder expected credit/inference cost for an active free evaluator; enforce credit caps.</x:t>
        </x:r>
      </x:text>
    </x:comment>
    <x:comment ref="B14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· Illustrative early commercial/product overhead; excludes full company cost allocation.</x:t>
        </x:r>
      </x:text>
    </x:comment>
    <x:comment ref="B15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· Illustrative targeted pilot/content/partner spend; replace with approved budget.</x:t>
        </x:r>
      </x:text>
    </x:comment>
    <x:comment ref="B1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· Base model keeps implementation/setup revenue at zero to test recurring usage economics.</x:t>
        </x:r>
      </x:text>
    </x:comment>
    <x:comment ref="B1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· Illustrative opening cash only for runway visualization; not a claim about SarvamÃƒÂ¢Ã¢â€šÂ¬Ã¢â€žÂ¢s finances.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;[Red](#,##0);-"/>
    <x:numFmt numFmtId="201" formatCode="0.0%;[Red](0.0%);-"/>
    <x:numFmt numFmtId="202" formatCode="&quot;INR &quot;#,##0;[Red](&quot;INR &quot;#,##0);-"/>
    <x:numFmt numFmtId="203" formatCode="0.0%"/>
    <x:numFmt numFmtId="204" formatCode="0%"/>
    <x:numFmt numFmtId="205" formatCode="0.00x"/>
    <x:numFmt numFmtId="206" formatCode="#,##0.0"/>
    <x:numFmt numFmtId="207" formatCode="0.0x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34155"/>
      <x:name val="Carlito"/>
    </x:font>
    <x:font>
      <x:b/>
      <x:sz val="11"/>
      <x:color rgb="FF10243E"/>
      <x:name val="Carlito"/>
    </x:font>
    <x:font>
      <x:sz val="11"/>
      <x:color rgb="FF2563EB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i/>
      <x:sz val="11"/>
      <x:color rgb="FF92400E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0243E"/>
      </x:patternFill>
    </x:fill>
    <x:fill>
      <x:patternFill patternType="solid">
        <x:fgColor rgb="FFE8EDF4"/>
      </x:patternFill>
    </x:fill>
    <x:fill>
      <x:patternFill patternType="solid">
        <x:fgColor rgb="FFDDE6F2"/>
      </x:patternFill>
    </x:fill>
    <x:fill>
      <x:patternFill patternType="solid">
        <x:fgColor rgb="FFFFF4CC"/>
      </x:patternFill>
    </x:fill>
    <x:fill>
      <x:patternFill patternType="solid">
        <x:fgColor rgb="FFEAF2FF"/>
      </x:patternFill>
    </x:fill>
    <x:fill>
      <x:patternFill patternType="solid">
        <x:fgColor rgb="FFE7F6EC"/>
      </x:patternFill>
    </x:fill>
    <x:fill>
      <x:patternFill patternType="solid">
        <x:fgColor rgb="FFF5F7FA"/>
      </x:patternFill>
    </x:fill>
  </x:fills>
  <x:borders count="12">
    <x:border/>
    <x:border>
      <x:left style="thin">
        <x:color rgb="FFD8E0EA"/>
      </x:left>
      <x:top style="thin">
        <x:color rgb="FFD8E0EA"/>
      </x:top>
      <x:bottom style="thin">
        <x:color rgb="FFD8E0EA"/>
      </x:bottom>
    </x:border>
    <x:border>
      <x:top style="thin">
        <x:color rgb="FFD8E0EA"/>
      </x:top>
      <x:bottom style="thin">
        <x:color rgb="FFD8E0EA"/>
      </x:bottom>
    </x:border>
    <x:border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right style="thin">
        <x:color rgb="FFD8E0EA"/>
      </x:right>
      <x:bottom style="thin">
        <x:color rgb="FFD8E0EA"/>
      </x:bottom>
    </x:border>
    <x:border>
      <x:left style="thin">
        <x:color rgb="FFD8E0EA"/>
      </x:left>
      <x:right style="thin">
        <x:color rgb="FFD8E0EA"/>
      </x:right>
      <x:bottom style="thin">
        <x:color rgb="FFD8E0EA"/>
      </x:bottom>
    </x:border>
    <x:border>
      <x:left style="thin">
        <x:color rgb="FFD8E0EA"/>
      </x:left>
      <x:bottom style="thin">
        <x:color rgb="FFD8E0EA"/>
      </x:bottom>
    </x:border>
    <x:border>
      <x:left style="thin">
        <x:color rgb="FFD8E0EA"/>
      </x:left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right style="thin">
        <x:color rgb="FFD8E0EA"/>
      </x:right>
      <x:top style="thin">
        <x:color rgb="FFD8E0EA"/>
      </x:top>
    </x:border>
    <x:border>
      <x:left style="thin">
        <x:color rgb="FFD8E0EA"/>
      </x:left>
      <x:right style="thin">
        <x:color rgb="FFD8E0EA"/>
      </x:right>
      <x:top style="thin">
        <x:color rgb="FFD8E0EA"/>
      </x:top>
    </x:border>
    <x:border>
      <x:left style="thin">
        <x:color rgb="FFD8E0EA"/>
      </x:left>
      <x:top style="thin">
        <x:color rgb="FFD8E0EA"/>
      </x:top>
    </x:border>
    <x:border>
      <x:bottom style="double">
        <x:color rgb="FF10243E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5" borderId="5" xfId="0" applyNumberFormat="1" applyFont="1" applyFill="1" applyBorder="1"/>
    <x:xf numFmtId="0" fontId="4" fillId="5" borderId="5" xfId="0" applyNumberFormat="1" applyFont="1" applyFill="1" applyBorder="1"/>
    <x:xf numFmtId="200" fontId="4" fillId="5" borderId="5" xfId="0" applyNumberFormat="1" applyFont="1" applyFill="1" applyBorder="1"/>
    <x:xf numFmtId="0" fontId="0" fillId="5" borderId="7" xfId="0" applyNumberFormat="1" applyFont="1" applyFill="1" applyBorder="1"/>
    <x:xf numFmtId="0" fontId="4" fillId="5" borderId="7" xfId="0" applyNumberFormat="1" applyFont="1" applyFill="1" applyBorder="1"/>
    <x:xf numFmtId="200" fontId="4" fillId="5" borderId="7" xfId="0" applyNumberFormat="1" applyFont="1" applyFill="1" applyBorder="1"/>
    <x:xf numFmtId="201" fontId="4" fillId="5" borderId="7" xfId="0" applyNumberFormat="1" applyFont="1" applyFill="1" applyBorder="1"/>
    <x:xf numFmtId="202" fontId="4" fillId="5" borderId="7" xfId="0" applyNumberFormat="1" applyFont="1" applyFill="1" applyBorder="1"/>
    <x:xf numFmtId="0" fontId="0" fillId="5" borderId="9" xfId="0" applyNumberFormat="1" applyFont="1" applyFill="1" applyBorder="1"/>
    <x:xf numFmtId="0" fontId="4" fillId="5" borderId="9" xfId="0" applyNumberFormat="1" applyFont="1" applyFill="1" applyBorder="1"/>
    <x:xf numFmtId="202" fontId="4" fillId="5" borderId="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202" fontId="6" fillId="0" borderId="0" xfId="0" applyNumberFormat="1" applyFont="1" applyFill="1" applyBorder="1"/>
    <x:xf numFmtId="204" fontId="0" fillId="0" borderId="0" xfId="0" applyNumberFormat="1" applyFont="1" applyFill="1" applyBorder="1"/>
    <x:xf numFmtId="205" fontId="4" fillId="0" borderId="0" xfId="0" applyNumberFormat="1" applyFont="1" applyFill="1" applyBorder="1"/>
    <x:xf numFmtId="205" fontId="4" fillId="0" borderId="5" xfId="0" applyNumberFormat="1" applyFont="1" applyFill="1" applyBorder="1"/>
    <x:xf numFmtId="205" fontId="4" fillId="0" borderId="6" xfId="0" applyNumberFormat="1" applyFont="1" applyFill="1" applyBorder="1"/>
    <x:xf numFmtId="205" fontId="4" fillId="0" borderId="7" xfId="0" applyNumberFormat="1" applyFont="1" applyFill="1" applyBorder="1"/>
    <x:xf numFmtId="205" fontId="4" fillId="0" borderId="1" xfId="0" applyNumberFormat="1" applyFont="1" applyFill="1" applyBorder="1"/>
    <x:xf numFmtId="205" fontId="4" fillId="0" borderId="9" xfId="0" applyNumberFormat="1" applyFont="1" applyFill="1" applyBorder="1"/>
    <x:xf numFmtId="205" fontId="4" fillId="0" borderId="10" xfId="0" applyNumberFormat="1" applyFont="1" applyFill="1" applyBorder="1"/>
    <x:xf numFmtId="206" fontId="0" fillId="0" borderId="0" xfId="0" applyNumberFormat="1" applyFont="1" applyFill="1" applyBorder="1"/>
    <x:xf numFmtId="202" fontId="0" fillId="0" borderId="0" xfId="0" applyNumberFormat="1" applyFont="1" applyFill="1" applyBorder="1"/>
    <x:xf numFmtId="206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0" fillId="6" borderId="0" xfId="0" applyNumberFormat="1" applyFont="1" applyFill="1" applyBorder="1"/>
    <x:xf numFmtId="202" fontId="7" fillId="6" borderId="0" xfId="0" applyNumberFormat="1" applyFont="1" applyFill="1" applyBorder="1"/>
    <x:xf numFmtId="0" fontId="8" fillId="6" borderId="0" xfId="0" applyNumberFormat="1" applyFont="1" applyFill="1" applyBorder="1"/>
    <x:xf numFmtId="202" fontId="8" fillId="6" borderId="0" xfId="0" applyNumberFormat="1" applyFont="1" applyFill="1" applyBorder="1"/>
    <x:xf numFmtId="0" fontId="8" fillId="6" borderId="11" xfId="0" applyNumberFormat="1" applyFont="1" applyFill="1" applyBorder="1"/>
    <x:xf numFmtId="202" fontId="8" fillId="6" borderId="11" xfId="0" applyNumberFormat="1" applyFont="1" applyFill="1" applyBorder="1"/>
    <x:xf numFmtId="0" fontId="0" fillId="7" borderId="0" xfId="0" applyNumberFormat="1" applyFont="1" applyFill="1" applyBorder="1"/>
    <x:xf numFmtId="202" fontId="7" fillId="7" borderId="0" xfId="0" applyNumberFormat="1" applyFont="1" applyFill="1" applyBorder="1"/>
    <x:xf numFmtId="0" fontId="8" fillId="7" borderId="0" xfId="0" applyNumberFormat="1" applyFont="1" applyFill="1" applyBorder="1"/>
    <x:xf numFmtId="202" fontId="8" fillId="7" borderId="0" xfId="0" applyNumberFormat="1" applyFont="1" applyFill="1" applyBorder="1"/>
    <x:xf numFmtId="0" fontId="8" fillId="7" borderId="11" xfId="0" applyNumberFormat="1" applyFont="1" applyFill="1" applyBorder="1"/>
    <x:xf numFmtId="202" fontId="8" fillId="7" borderId="11" xfId="0" applyNumberFormat="1" applyFont="1" applyFill="1" applyBorder="1"/>
    <x:xf numFmtId="203" fontId="0" fillId="0" borderId="0" xfId="0" applyNumberFormat="1" applyFont="1" applyFill="1" applyBorder="1"/>
    <x:xf numFmtId="207" fontId="0" fillId="0" borderId="0" xfId="0" applyNumberFormat="1" applyFont="1" applyFill="1" applyBorder="1"/>
    <x:xf numFmtId="203" fontId="7" fillId="0" borderId="0" xfId="0" applyNumberFormat="1" applyFont="1" applyFill="1" applyBorder="1"/>
    <x:xf numFmtId="207" fontId="7" fillId="0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/>
    <x:xf numFmtId="203" fontId="8" fillId="0" borderId="0" xfId="0" applyNumberFormat="1" applyFont="1" applyFill="1" applyBorder="1"/>
    <x:xf numFmtId="207" fontId="8" fillId="0" borderId="0" xfId="0" applyNumberFormat="1" applyFont="1" applyFill="1" applyBorder="1"/>
    <x:xf numFmtId="206" fontId="8" fillId="0" borderId="0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E7F6EC"/>
        </x:patternFill>
      </x:fill>
    </x:dxf>
    <x:dxf>
      <x:font>
        <x:b/>
        <x:color rgb="FF991B1B"/>
      </x:font>
      <x:fill>
        <x:patternFill patternType="solid">
          <x:bgColor rgb="FFFDE8E8"/>
        </x:patternFill>
      </x:fill>
    </x:dxf>
    <x:dxf>
      <x:font>
        <x:b/>
        <x:color rgb="FF166534"/>
      </x:font>
      <x:fill>
        <x:patternFill patternType="solid">
          <x:bgColor rgb="FFE7F6EC"/>
        </x:patternFill>
      </x:fill>
    </x:dxf>
    <x:dxf>
      <x:font>
        <x:b/>
        <x:color rgb="FF991B1B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540f540414525" /><Relationship Type="http://schemas.openxmlformats.org/officeDocument/2006/relationships/theme" Target="/xl/theme/theme1.xml" Id="R99ff65afe1114557" /><Relationship Type="http://schemas.openxmlformats.org/officeDocument/2006/relationships/sharedStrings" Target="/xl/sharedStrings.xml" Id="R7bfe139a096b403b" /><Relationship Type="http://schemas.openxmlformats.org/officeDocument/2006/relationships/worksheet" Target="/xl/worksheets/sheet1.xml" Id="R4a3e38c19cbb4c88" /><Relationship Type="http://schemas.openxmlformats.org/officeDocument/2006/relationships/worksheet" Target="/xl/worksheets/sheet2.xml" Id="R9adb1c22e453470b" /><Relationship Type="http://schemas.openxmlformats.org/officeDocument/2006/relationships/worksheet" Target="/xl/worksheets/sheet3.xml" Id="R4c194121aca64315" /><Relationship Type="http://schemas.openxmlformats.org/officeDocument/2006/relationships/worksheet" Target="/xl/worksheets/sheet4.xml" Id="R1d9ebf9dcc244bfe" /><Relationship Type="http://schemas.openxmlformats.org/officeDocument/2006/relationships/worksheet" Target="/xl/worksheets/sheet5.xml" Id="Rea5d810d9c754006" /><Relationship Type="http://schemas.openxmlformats.org/officeDocument/2006/relationships/worksheet" Target="/xl/worksheets/sheet6.xml" Id="Rc934b1a694fb4f7a" /><Relationship Type="http://schemas.openxmlformats.org/officeDocument/2006/relationships/worksheet" Target="/xl/worksheets/sheet7.xml" Id="Rc5dbdf4ed68a44fd" /><Relationship Type="http://schemas.openxmlformats.org/officeDocument/2006/relationships/worksheet" Target="/xl/worksheets/sheet8.xml" Id="R2a486077d5ce4eec" /><Relationship Type="http://schemas.microsoft.com/office/2017/10/relationships/person" Target="/xl/persons/person.xml" Id="R648102cd1ecc49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420eb975ac04aa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Base Revenue, Cost, and Profit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'Dashboard'!$B$25:$B$36</c:f>
              <c:strCache>
                <c:ptCount val="0"/>
              </c:strCache>
            </c:strRef>
          </c:cat>
          <c:val>
            <c:numRef>
              <c:f>'Dashboard'!$C$25:$C$36</c:f>
              <c:numCache>
                <c:formatCode>"INR "#,##0;[Red]("INR "#,##0);-</c:formatCode>
                <c:ptCount val="0"/>
              </c:numCache>
            </c:numRef>
          </c:val>
        </c:ser>
        <c:ser>
          <c:idx val="1"/>
          <c:order val="1"/>
          <c:tx>
            <c:v>Total cost</c:v>
          </c:tx>
          <c:marker>
            <c:symbol val="none"/>
          </c:marker>
          <c:cat>
            <c:strRef>
              <c:f>'Dashboard'!$B$25:$B$36</c:f>
              <c:strCache>
                <c:ptCount val="0"/>
              </c:strCache>
            </c:strRef>
          </c:cat>
          <c:val>
            <c:numRef>
              <c:f>'Dashboard'!$D$25:$D$36</c:f>
              <c:numCache>
                <c:formatCode>"INR "#,##0;[Red]("INR "#,##0);-</c:formatCode>
                <c:ptCount val="0"/>
              </c:numCache>
            </c:numRef>
          </c:val>
        </c:ser>
        <c:ser>
          <c:idx val="2"/>
          <c:order val="2"/>
          <c:tx>
            <c:v>Operating profit</c:v>
          </c:tx>
          <c:marker>
            <c:symbol val="none"/>
          </c:marker>
          <c:cat>
            <c:strRef>
              <c:f>'Dashboard'!$B$25:$B$36</c:f>
              <c:strCache>
                <c:ptCount val="0"/>
              </c:strCache>
            </c:strRef>
          </c:cat>
          <c:val>
            <c:numRef>
              <c:f>'Dashboard'!$E$25:$E$36</c:f>
              <c:numCache>
                <c:formatCode>"INR "#,##0;[Red]("INR "#,##0);-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INR &quot;#,##0;[Red](&quot;INR &quot;#,##0);-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21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20eb975ac04aa6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Build Fast with AI" id="{8863C0FD-5A8D-4186-A43E-B5871655B28C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8-09T12:52:06.357" personId="{8863C0FD-5A8D-4186-A43E-B5871655B28C}" id="{C5F92C77-16B1-C283-B483-73C30BECCD7C}">
    <xltc:text>ASSUMPTION · No private user count supplied; model starts from a clean cohort for testability.</xltc:text>
  </xltc:threadedComment>
  <xltc:threadedComment ref="B6" dT="2026-08-09T12:52:06.36" personId="{8863C0FD-5A8D-4186-A43E-B5871655B28C}" id="{94579319-B146-BF1D-FE59-2A10C29AE10D}">
    <xltc:text>ASSUMPTION · No private paid-customer count supplied; model starts from a clean cohort.</xltc:text>
  </xltc:threadedComment>
  <xltc:threadedComment ref="B7" dT="2026-08-09T12:52:06.361" personId="{8863C0FD-5A8D-4186-A43E-B5871655B28C}" id="{69FF5A9E-96B6-423B-0DF5-E4206009B71E}">
    <xltc:text>ASSUMPTION · Placeholder for early targeted developer acquisition; replace with dashboard cohort data. · https://docs.sarvam.ai/api/getting-started/welcome</xltc:text>
  </xltc:threadedComment>
  <xltc:threadedComment ref="B8" dT="2026-08-09T12:52:06.361" personId="{8863C0FD-5A8D-4186-A43E-B5871655B28C}" id="{E0CB5175-67CF-0D83-8C31-4AE35D2134FF}">
    <xltc:text>ASSUMPTION · Conservative early conversion hypothesis for credit-led developer evaluation; must be measured by cohort.</xltc:text>
  </xltc:threadedComment>
  <xltc:threadedComment ref="B9" dT="2026-08-09T12:52:06.362" personId="{8863C0FD-5A8D-4186-A43E-B5871655B28C}" id="{01AD6465-7AAE-8141-BDC1-F1DB25B73C82}">
    <xltc:text>ASSUMPTION · Named-account pilot hypothesis; validate through sales pipeline.</xltc:text>
  </xltc:threadedComment>
  <xltc:threadedComment ref="B10" dT="2026-08-09T12:52:06.362" personId="{8863C0FD-5A8D-4186-A43E-B5871655B28C}" id="{8ABCE765-A1E5-8E17-D921-65730EE8406D}">
    <xltc:text>ASSUMPTION · Placeholder for production account retention until cohort history exists.</xltc:text>
  </xltc:threadedComment>
  <xltc:threadedComment ref="B11" dT="2026-08-09T12:52:06.363" personId="{8863C0FD-5A8D-4186-A43E-B5871655B28C}" id="{8CE85A38-41F9-0618-47CF-31F52029C379}">
    <xltc:text>ASSUMPTION · Zero means workbook uses weighted public/hypothesis tier ARPU rather than overriding it. · https://www.sarvam.ai/api-pricing</xltc:text>
  </xltc:threadedComment>
  <xltc:threadedComment ref="B12" dT="2026-08-09T12:52:06.363" personId="{8863C0FD-5A8D-4186-A43E-B5871655B28C}" id="{8F410C20-1BEF-8F57-F47E-E392C5C72D84}">
    <xltc:text>ASSUMPTION · Placeholder blended inference/support cost per paid account; replace with account-level usage and infra allocation.</xltc:text>
  </xltc:threadedComment>
  <xltc:threadedComment ref="B13" dT="2026-08-09T12:52:06.364" personId="{8863C0FD-5A8D-4186-A43E-B5871655B28C}" id="{06EF3FF8-225A-5CC8-C009-9B1F25C25142}">
    <xltc:text>ASSUMPTION · Placeholder expected credit/inference cost for an active free evaluator; enforce credit caps.</xltc:text>
  </xltc:threadedComment>
  <xltc:threadedComment ref="B14" dT="2026-08-09T12:52:06.365" personId="{8863C0FD-5A8D-4186-A43E-B5871655B28C}" id="{EBEA382F-C080-0C81-E47A-61B0E8299794}">
    <xltc:text>ASSUMPTION · Illustrative early commercial/product overhead; excludes full company cost allocation.</xltc:text>
  </xltc:threadedComment>
  <xltc:threadedComment ref="B15" dT="2026-08-09T12:52:06.365" personId="{8863C0FD-5A8D-4186-A43E-B5871655B28C}" id="{B4DAF1B7-B9DE-77EE-D404-5865D424C908}">
    <xltc:text>ASSUMPTION · Illustrative targeted pilot/content/partner spend; replace with approved budget.</xltc:text>
  </xltc:threadedComment>
  <xltc:threadedComment ref="B16" dT="2026-08-09T12:52:06.366" personId="{8863C0FD-5A8D-4186-A43E-B5871655B28C}" id="{87CD5116-E920-1746-677D-F86AB608FAEB}">
    <xltc:text>ASSUMPTION · Base model keeps implementation/setup revenue at zero to test recurring usage economics.</xltc:text>
  </xltc:threadedComment>
  <xltc:threadedComment ref="B17" dT="2026-08-09T12:52:06.366" personId="{8863C0FD-5A8D-4186-A43E-B5871655B28C}" id="{EC95A245-C492-9546-4747-628041E3F3C1}">
    <xltc:text>ASSUMPTION · Illustrative opening cash only for runway visualization; not a claim about SarvamÃƒÂ¢Ã¢â€šÂ¬Ã¢â€žÂ¢s finances.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9ab153880a44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2656b79b6e534ecc" /><Relationship Type="http://schemas.openxmlformats.org/officeDocument/2006/relationships/vmlDrawing" Target="/xl/drawings/vmldrawing.vml" Id="R3ecda489f7c046df" /><Relationship Type="http://schemas.microsoft.com/office/2017/10/relationships/threadedComment" Target="/xl/threadedcomments/threadedcomment.xml" Id="Rb44e11e166e74c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" hidden="0" customWidth="1"/>
  </x:cols>
  <x:sheetData>
    <x:row r="1" ht="32" customHeight="1">
      <x:c r="A1" s="3" t="str">
        <x:v>StartupBlueprint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7" t="str">
        <x:v>Sarvam AI · 2026-08-09 · standard mode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2" customHeight="1">
      <x:c r="A4" s="49" t="str">
        <x:v>Decision Snapshot</x:v>
      </x:c>
      <x:c r="B4" s="49"/>
      <x:c r="C4" s="49"/>
      <x:c r="D4" s="49"/>
      <x:c r="E4" s="49"/>
      <x:c r="F4" s="49"/>
      <x:c r="G4" s="49"/>
      <x:c r="H4" s="49"/>
      <x:c r="I4" s="49"/>
      <x:c r="J4" s="49"/>
    </x:row>
    <x:row r="5">
      <x:c r="A5" s="81" t="str">
        <x:v>Startup</x:v>
      </x:c>
      <x:c r="B5" s="48" t="str">
        <x:v>Sarvam AI</x:v>
      </x:c>
    </x:row>
    <x:row r="6">
      <x:c r="A6" s="81" t="str">
        <x:v>Recommended model</x:v>
      </x:c>
      <x:c r="B6" s="48" t="str">
        <x:v>Usage-based API credits with prepaid Pro/Business tiers and enterprise commitments; use paid pilots to prove recurring production volume.</x:v>
      </x:c>
    </x:row>
    <x:row r="7">
      <x:c r="A7" s="81" t="str">
        <x:v>Pricing model</x:v>
      </x:c>
      <x:c r="B7" s="48" t="str">
        <x:v>Usage-based credits with prepaid Pro/Business plans and enterprise volume commitments</x:v>
      </x:c>
    </x:row>
    <x:row r="8">
      <x:c r="A8" s="81" t="str">
        <x:v>First channel</x:v>
      </x:c>
      <x:c r="B8" s="48" t="str">
        <x:v>targeted founder-led technical sales to high-volume BFSI/govtech/customer-support teams, paired with a benchmark-driven pilot</x:v>
      </x:c>
    </x:row>
    <x:row r="9">
      <x:c r="A9" s="81" t="str">
        <x:v>Readiness score</x:v>
      </x:c>
      <x:c r="B9" s="82" t="n">
        <x:v>0.408</x:v>
      </x:c>
    </x:row>
    <x:row r="10">
      <x:c r="A10" s="81" t="str">
        <x:v>Plan status</x:v>
      </x:c>
      <x:c r="B10" s="48" t="str">
        <x:v>PROVISIONAL</x:v>
      </x:c>
    </x:row>
    <x:row r="11">
      <x:c r="A11" s="81" t="str">
        <x:v>Financial verdict</x:v>
      </x:c>
      <x:c r="B11" s="48" t="str">
        <x:v>FRAGILE</x:v>
      </x:c>
    </x:row>
    <x:row r="12">
      <x:c r="A12" s="81" t="str">
        <x:v>Largest warning</x:v>
      </x:c>
      <x:c r="B12" s="48" t="str">
        <x:v>The forecast uses visible assumptions that must be replaced with measured data.</x:v>
      </x:c>
    </x:row>
    <x:row r="14" ht="22" customHeight="1">
      <x:c r="A14" s="49" t="str">
        <x:v>Base Economics</x:v>
      </x:c>
      <x:c r="B14" s="49"/>
      <x:c r="C14" s="49"/>
      <x:c r="D14" s="49"/>
      <x:c r="E14" s="49"/>
      <x:c r="F14" s="49"/>
      <x:c r="G14" s="49"/>
      <x:c r="H14" s="49"/>
      <x:c r="I14" s="49"/>
      <x:c r="J14" s="49"/>
    </x:row>
    <x:row r="15">
      <x:c r="A15" s="16" t="str">
        <x:v>Metric</x:v>
      </x:c>
      <x:c r="B15" s="18" t="str">
        <x:v>Result</x:v>
      </x:c>
      <x:c r="D15" s="16" t="str">
        <x:v>Scenario</x:v>
      </x:c>
      <x:c r="E15" s="17" t="str">
        <x:v>12M revenue</x:v>
      </x:c>
      <x:c r="F15" s="17" t="str">
        <x:v>12M profit</x:v>
      </x:c>
      <x:c r="G15" s="17" t="str">
        <x:v>M12 profit</x:v>
      </x:c>
      <x:c r="H15" s="17" t="str">
        <x:v>Ending paid</x:v>
      </x:c>
      <x:c r="I15" s="18" t="str">
        <x:v>Ending cash</x:v>
      </x:c>
    </x:row>
    <x:row r="16">
      <x:c r="A16" t="str">
        <x:v>Weighted ARPU</x:v>
      </x:c>
      <x:c r="B16" s="83" t="n">
        <x:f>'Pricing'!$B$20</x:f>
        <x:v>24000</x:v>
      </x:c>
      <x:c r="D16" t="str">
        <x:v>conservative</x:v>
      </x:c>
      <x:c r="E16" s="63" t="n">
        <x:f>SUM('12-Month Forecast'!$C$21:$N$21)</x:f>
        <x:v>7727620.584503187</x:v>
      </x:c>
      <x:c r="F16" s="63" t="n">
        <x:f>SUM('12-Month Forecast'!$C$27:$N$27)</x:f>
        <x:v>-15826826.657643436</x:v>
      </x:c>
      <x:c r="G16" s="63" t="n">
        <x:f>'12-Month Forecast'!$N$27</x:f>
        <x:v>-434706.3692288562</x:v>
      </x:c>
      <x:c r="H16" s="62" t="n">
        <x:f>'12-Month Forecast'!$N$15</x:f>
        <x:v>84.48727494959763</x:v>
      </x:c>
      <x:c r="I16" s="63" t="n">
        <x:f>'12-Month Forecast'!$N$28</x:f>
        <x:v>-5826826.6576434355</x:v>
      </x:c>
    </x:row>
    <x:row r="17">
      <x:c r="A17" t="str">
        <x:v>Contribution / paid</x:v>
      </x:c>
      <x:c r="B17" s="83" t="n">
        <x:f>'Unit Economics'!$C$6</x:f>
        <x:v>21500</x:v>
      </x:c>
      <x:c r="D17" t="str">
        <x:v>base</x:v>
      </x:c>
      <x:c r="E17" s="63" t="n">
        <x:f>SUM('12-Month Forecast'!$C$47:$N$47)</x:f>
        <x:v>17352830.311420824</x:v>
      </x:c>
      <x:c r="F17" s="63" t="n">
        <x:f>SUM('12-Month Forecast'!$C$53:$N$53)</x:f>
        <x:v>-5779393.543688327</x:v>
      </x:c>
      <x:c r="G17" s="63" t="n">
        <x:f>'12-Month Forecast'!$N$53</x:f>
        <x:v>1637405.518182192</x:v>
      </x:c>
      <x:c r="H17" s="62" t="n">
        <x:f>'12-Month Forecast'!$N$41</x:f>
        <x:v>172.3690342763289</x:v>
      </x:c>
      <x:c r="I17" s="63" t="n">
        <x:f>'12-Month Forecast'!$N$54</x:f>
        <x:v>4220606.456311675</x:v>
      </x:c>
    </x:row>
    <x:row r="18">
      <x:c r="A18" t="str">
        <x:v>Contribution margin</x:v>
      </x:c>
      <x:c r="B18" s="84" t="n">
        <x:f>'Unit Economics'!$D$6</x:f>
        <x:v>0.8958333333333334</x:v>
      </x:c>
      <x:c r="D18" t="str">
        <x:v>optimistic</x:v>
      </x:c>
      <x:c r="E18" s="63" t="n">
        <x:f>SUM('12-Month Forecast'!$C$73:$N$73)</x:f>
        <x:v>36406320.44443505</x:v>
      </x:c>
      <x:c r="F18" s="63" t="n">
        <x:f>SUM('12-Month Forecast'!$C$79:$N$79)</x:f>
        <x:v>10978296.25855665</x:v>
      </x:c>
      <x:c r="G18" s="63" t="n">
        <x:f>'12-Month Forecast'!$N$79</x:f>
        <x:v>5515584.085557712</x:v>
      </x:c>
      <x:c r="H18" s="62" t="n">
        <x:f>'12-Month Forecast'!$N$67</x:f>
        <x:v>330.7414230150359</x:v>
      </x:c>
      <x:c r="I18" s="63" t="n">
        <x:f>'12-Month Forecast'!$N$80</x:f>
        <x:v>20978296.25855665</x:v>
      </x:c>
    </x:row>
    <x:row r="19">
      <x:c r="A19" t="str">
        <x:v>CAC payback</x:v>
      </x:c>
      <x:c r="B19" s="85" t="n">
        <x:f>'Unit Economics'!$F$6</x:f>
        <x:v>11.627906976744185</x:v>
      </x:c>
      <x:c r="D19" s="88" t="str">
        <x:v>All scenarios recalculate from Inputs, Pricing, and Scenarios.</x:v>
      </x:c>
      <x:c r="E19" s="88" t="str">
        <x:v>All scenarios recalculate from Inputs, Pricing, and Scenarios.</x:v>
      </x:c>
      <x:c r="F19" s="88"/>
      <x:c r="G19" s="88"/>
      <x:c r="H19" s="88"/>
      <x:c r="I19" s="88"/>
    </x:row>
    <x:row r="20">
      <x:c r="A20" t="str">
        <x:v>Break-even paid customers</x:v>
      </x:c>
      <x:c r="B20" s="86" t="n">
        <x:f>'Unit Economics'!$H$6</x:f>
        <x:v>69.76744186046511</x:v>
      </x:c>
    </x:row>
    <x:row r="24">
      <x:c r="B24" s="16" t="str">
        <x:v>Month</x:v>
      </x:c>
      <x:c r="C24" s="17" t="str">
        <x:v>Revenue</x:v>
      </x:c>
      <x:c r="D24" s="17" t="str">
        <x:v>Total cost</x:v>
      </x:c>
      <x:c r="E24" s="18" t="str">
        <x:v>Operating profit</x:v>
      </x:c>
    </x:row>
    <x:row r="25">
      <x:c r="B25" t="str">
        <x:v>M1</x:v>
      </x:c>
      <x:c r="C25" s="61" t="n">
        <x:f>'12-Month Forecast'!$C$47</x:f>
        <x:v>12000</x:v>
      </x:c>
      <x:c r="D25" s="61" t="n">
        <x:f>'12-Month Forecast'!$C$52</x:f>
        <x:v>1753750</x:v>
      </x:c>
      <x:c r="E25" s="61" t="n">
        <x:f>'12-Month Forecast'!$C$53</x:f>
        <x:v>-1741750</x:v>
      </x:c>
    </x:row>
    <x:row r="26">
      <x:c r="B26" t="str">
        <x:v>M2</x:v>
      </x:c>
      <x:c r="C26" s="61" t="n">
        <x:f>'12-Month Forecast'!$D$47</x:f>
        <x:v>71640</x:v>
      </x:c>
      <x:c r="D26" s="61" t="n">
        <x:f>'12-Month Forecast'!$D$52</x:f>
        <x:v>1764887.5</x:v>
      </x:c>
      <x:c r="E26" s="61" t="n">
        <x:f>'12-Month Forecast'!$D$53</x:f>
        <x:v>-1693247.5</x:v>
      </x:c>
    </x:row>
    <x:row r="27">
      <x:c r="B27" t="str">
        <x:v>M3</x:v>
      </x:c>
      <x:c r="C27" s="61" t="n">
        <x:f>'12-Month Forecast'!$E$47</x:f>
        <x:v>200410.79999999996</x:v>
      </x:c>
      <x:c r="D27" s="61" t="n">
        <x:f>'12-Month Forecast'!$E$52</x:f>
        <x:v>1783078.375</x:v>
      </x:c>
      <x:c r="E27" s="61" t="n">
        <x:f>'12-Month Forecast'!$E$53</x:f>
        <x:v>-1582667.575</x:v>
      </x:c>
    </x:row>
    <x:row r="28">
      <x:c r="B28" t="str">
        <x:v>M4</x:v>
      </x:c>
      <x:c r="C28" s="61" t="n">
        <x:f>'12-Month Forecast'!$F$47</x:f>
        <x:v>394110.87600000005</x:v>
      </x:c>
      <x:c r="D28" s="61" t="n">
        <x:f>'12-Month Forecast'!$F$52</x:f>
        <x:v>1807889.39875</x:v>
      </x:c>
      <x:c r="E28" s="61" t="n">
        <x:f>'12-Month Forecast'!$F$53</x:f>
        <x:v>-1413778.52275</x:v>
      </x:c>
    </x:row>
    <x:row r="29">
      <x:c r="B29" t="str">
        <x:v>M5</x:v>
      </x:c>
      <x:c r="C29" s="61" t="n">
        <x:f>'12-Month Forecast'!$G$47</x:f>
        <x:v>648728.57772</x:v>
      </x:c>
      <x:c r="D29" s="61" t="n">
        <x:f>'12-Month Forecast'!$G$52</x:f>
        <x:v>1838906.9905375</x:v>
      </x:c>
      <x:c r="E29" s="61" t="n">
        <x:f>'12-Month Forecast'!$G$53</x:f>
        <x:v>-1190178.4128175</x:v>
      </x:c>
    </x:row>
    <x:row r="30">
      <x:c r="B30" t="str">
        <x:v>M6</x:v>
      </x:c>
      <x:c r="C30" s="61" t="n">
        <x:f>'12-Month Forecast'!$H$47</x:f>
        <x:v>960434.5175483999</x:v>
      </x:c>
      <x:c r="D30" s="61" t="n">
        <x:f>'12-Month Forecast'!$H$52</x:f>
        <x:v>1875736.426358875</x:v>
      </x:c>
      <x:c r="E30" s="61" t="n">
        <x:f>'12-Month Forecast'!$H$53</x:f>
        <x:v>-915301.908810475</x:v>
      </x:c>
    </x:row>
    <x:row r="31">
      <x:c r="B31" t="str">
        <x:v>M7</x:v>
      </x:c>
      <x:c r="C31" s="61" t="n">
        <x:f>'12-Month Forecast'!$I$47</x:f>
        <x:v>1325574.245267148</x:v>
      </x:c>
      <x:c r="D31" s="61" t="n">
        <x:f>'12-Month Forecast'!$I$52</x:f>
        <x:v>1918001.0797394838</x:v>
      </x:c>
      <x:c r="E31" s="61" t="n">
        <x:f>'12-Month Forecast'!$I$53</x:f>
        <x:v>-592426.8344723359</x:v>
      </x:c>
    </x:row>
    <x:row r="32">
      <x:c r="B32" t="str">
        <x:v>M8</x:v>
      </x:c>
      <x:c r="C32" s="61" t="n">
        <x:f>'12-Month Forecast'!$J$47</x:f>
        <x:v>1740661.1982569774</x:v>
      </x:c>
      <x:c r="D32" s="61" t="n">
        <x:f>'12-Month Forecast'!$J$52</x:f>
        <x:v>1965341.691133533</x:v>
      </x:c>
      <x:c r="E32" s="61" t="n">
        <x:f>'12-Month Forecast'!$J$53</x:f>
        <x:v>-224680.49287655554</x:v>
      </x:c>
    </x:row>
    <x:row r="33">
      <x:c r="B33" t="str">
        <x:v>M9</x:v>
      </x:c>
      <x:c r="C33" s="61" t="n">
        <x:f>'12-Month Forecast'!$K$47</x:f>
        <x:v>2202369.917246677</x:v>
      </x:c>
      <x:c r="D33" s="61" t="n">
        <x:f>'12-Month Forecast'!$K$52</x:f>
        <x:v>2017415.6648721737</x:v>
      </x:c>
      <x:c r="E33" s="61" t="n">
        <x:f>'12-Month Forecast'!$K$53</x:f>
        <x:v>184954.2523745033</x:v>
      </x:c>
    </x:row>
    <x:row r="34">
      <x:c r="B34" t="str">
        <x:v>M10</x:v>
      </x:c>
      <x:c r="C34" s="61" t="n">
        <x:f>'12-Month Forecast'!$L$47</x:f>
        <x:v>2707529.5180185633</x:v>
      </x:c>
      <x:c r="D34" s="61" t="n">
        <x:f>'12-Month Forecast'!$L$52</x:f>
        <x:v>2073896.3926644758</x:v>
      </x:c>
      <x:c r="E34" s="61" t="n">
        <x:f>'12-Month Forecast'!$L$53</x:f>
        <x:v>633633.1253540874</x:v>
      </x:c>
    </x:row>
    <x:row r="35">
      <x:c r="B35" t="str">
        <x:v>M11</x:v>
      </x:c>
      <x:c r="C35" s="61" t="n">
        <x:f>'12-Month Forecast'!$M$47</x:f>
        <x:v>3253117.409818614</x:v>
      </x:c>
      <x:c r="D35" s="61" t="n">
        <x:f>'12-Month Forecast'!$M$52</x:f>
        <x:v>2134472.602690855</x:v>
      </x:c>
      <x:c r="E35" s="61" t="n">
        <x:f>'12-Month Forecast'!$M$53</x:f>
        <x:v>1118644.8071277589</x:v>
      </x:c>
    </x:row>
    <x:row r="36">
      <x:c r="B36" t="str">
        <x:v>M12</x:v>
      </x:c>
      <x:c r="C36" s="61" t="n">
        <x:f>'12-Month Forecast'!$N$47</x:f>
        <x:v>3836253.2515444453</x:v>
      </x:c>
      <x:c r="D36" s="61" t="n">
        <x:f>'12-Month Forecast'!$N$52</x:f>
        <x:v>2198847.7333622533</x:v>
      </x:c>
      <x:c r="E36" s="61" t="n">
        <x:f>'12-Month Forecast'!$N$53</x:f>
        <x:v>1637405.518182192</x:v>
      </x:c>
    </x:row>
  </x:sheetData>
  <x:mergeCells>
    <x:mergeCell ref="A1:J1"/>
    <x:mergeCell ref="A2:J2"/>
    <x:mergeCell ref="A4:J4"/>
    <x:mergeCell ref="A14:J14"/>
    <x:mergeCell ref="D19:I19"/>
  </x:mergeCells>
  <x:pageMargins left="0.7" right="0.7" top="0.75" bottom="0.75" header="0.3" footer="0.3"/>
  <x:drawing xmlns:r="http://schemas.openxmlformats.org/officeDocument/2006/relationships" r:id="R589ab153880a44a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4" hidden="0" customWidth="1"/>
    <x:col min="4" max="4" width="13" hidden="0" customWidth="1"/>
    <x:col min="5" max="5" width="54" hidden="0" customWidth="1"/>
    <x:col min="6" max="6" width="42" hidden="0" customWidth="1"/>
  </x:cols>
  <x:sheetData>
    <x:row r="1" ht="32" customHeight="1">
      <x:c r="A1" s="3" t="str">
        <x:v>Operating Inputs</x:v>
      </x:c>
      <x:c r="B1" s="3"/>
      <x:c r="C1" s="3"/>
      <x:c r="D1" s="3"/>
      <x:c r="E1" s="3"/>
      <x:c r="F1" s="3"/>
    </x:row>
    <x:row r="2" ht="26" customHeight="1">
      <x:c r="A2" s="7" t="str">
        <x:v>Blue cells are editable. Yellow or red cells need validation.</x:v>
      </x:c>
      <x:c r="B2" s="7"/>
      <x:c r="C2" s="7"/>
      <x:c r="D2" s="7"/>
      <x:c r="E2" s="7"/>
      <x:c r="F2" s="7"/>
    </x:row>
    <x:row r="4">
      <x:c r="A4" s="16" t="str">
        <x:v>Driver</x:v>
      </x:c>
      <x:c r="B4" s="17" t="str">
        <x:v>Value</x:v>
      </x:c>
      <x:c r="C4" s="17" t="str">
        <x:v>Status</x:v>
      </x:c>
      <x:c r="D4" s="17" t="str">
        <x:v>Confidence</x:v>
      </x:c>
      <x:c r="E4" s="17" t="str">
        <x:v>Basis</x:v>
      </x:c>
      <x:c r="F4" s="18" t="str">
        <x:v>Source URL</x:v>
      </x:c>
    </x:row>
    <x:row r="5">
      <x:c r="A5" s="19" t="str">
        <x:v>Opening free users</x:v>
      </x:c>
      <x:c r="B5" s="30" t="n">
        <x:v>0</x:v>
      </x:c>
      <x:c r="C5" s="28" t="str">
        <x:v>assumption</x:v>
      </x:c>
      <x:c r="D5" s="39" t="str">
        <x:v>low</x:v>
      </x:c>
      <x:c r="E5" s="39" t="str">
        <x:v>No private user count supplied; model starts from a clean cohort for testability.</x:v>
      </x:c>
      <x:c r="F5" s="40" t="str"/>
    </x:row>
    <x:row r="6">
      <x:c r="A6" s="22" t="str">
        <x:v>Opening paid customers</x:v>
      </x:c>
      <x:c r="B6" s="33" t="n">
        <x:v>0</x:v>
      </x:c>
      <x:c r="C6" s="31" t="str">
        <x:v>assumption</x:v>
      </x:c>
      <x:c r="D6" s="41" t="str">
        <x:v>low</x:v>
      </x:c>
      <x:c r="E6" s="41" t="str">
        <x:v>No private paid-customer count supplied; model starts from a clean cohort.</x:v>
      </x:c>
      <x:c r="F6" s="42" t="str"/>
    </x:row>
    <x:row r="7">
      <x:c r="A7" s="22" t="str">
        <x:v>Monthly new free users</x:v>
      </x:c>
      <x:c r="B7" s="33" t="n">
        <x:v>100</x:v>
      </x:c>
      <x:c r="C7" s="31" t="str">
        <x:v>assumption</x:v>
      </x:c>
      <x:c r="D7" s="41" t="str">
        <x:v>low</x:v>
      </x:c>
      <x:c r="E7" s="41" t="str">
        <x:v>Placeholder for early targeted developer acquisition; replace with dashboard cohort data.</x:v>
      </x:c>
      <x:c r="F7" s="42" t="str">
        <x:v>https://docs.sarvam.ai/api/getting-started/welcome</x:v>
      </x:c>
    </x:row>
    <x:row r="8">
      <x:c r="A8" s="22" t="str">
        <x:v>Free-to-paid conversion</x:v>
      </x:c>
      <x:c r="B8" s="34" t="n">
        <x:v>0.03</x:v>
      </x:c>
      <x:c r="C8" s="31" t="str">
        <x:v>assumption</x:v>
      </x:c>
      <x:c r="D8" s="41" t="str">
        <x:v>low</x:v>
      </x:c>
      <x:c r="E8" s="41" t="str">
        <x:v>Conservative early conversion hypothesis for credit-led developer evaluation; must be measured by cohort.</x:v>
      </x:c>
      <x:c r="F8" s="42" t="str"/>
    </x:row>
    <x:row r="9">
      <x:c r="A9" s="22" t="str">
        <x:v>Monthly direct paid customers</x:v>
      </x:c>
      <x:c r="B9" s="33" t="n">
        <x:v>1</x:v>
      </x:c>
      <x:c r="C9" s="31" t="str">
        <x:v>assumption</x:v>
      </x:c>
      <x:c r="D9" s="41" t="str">
        <x:v>low</x:v>
      </x:c>
      <x:c r="E9" s="41" t="str">
        <x:v>Named-account pilot hypothesis; validate through sales pipeline.</x:v>
      </x:c>
      <x:c r="F9" s="42" t="str"/>
    </x:row>
    <x:row r="10">
      <x:c r="A10" s="22" t="str">
        <x:v>Monthly paid churn</x:v>
      </x:c>
      <x:c r="B10" s="34" t="n">
        <x:v>0.03</x:v>
      </x:c>
      <x:c r="C10" s="31" t="str">
        <x:v>assumption</x:v>
      </x:c>
      <x:c r="D10" s="41" t="str">
        <x:v>low</x:v>
      </x:c>
      <x:c r="E10" s="41" t="str">
        <x:v>Placeholder for production account retention until cohort history exists.</x:v>
      </x:c>
      <x:c r="F10" s="42" t="str"/>
    </x:row>
    <x:row r="11">
      <x:c r="A11" s="22" t="str">
        <x:v>Observed monthly ARPU override</x:v>
      </x:c>
      <x:c r="B11" s="35" t="n">
        <x:v>0</x:v>
      </x:c>
      <x:c r="C11" s="31" t="str">
        <x:v>assumption</x:v>
      </x:c>
      <x:c r="D11" s="41" t="str">
        <x:v>medium</x:v>
      </x:c>
      <x:c r="E11" s="41" t="str">
        <x:v>Zero means workbook uses weighted public/hypothesis tier ARPU rather than overriding it.</x:v>
      </x:c>
      <x:c r="F11" s="42" t="str">
        <x:v>https://www.sarvam.ai/api-pricing</x:v>
      </x:c>
    </x:row>
    <x:row r="12">
      <x:c r="A12" s="22" t="str">
        <x:v>Variable cost / paid customer</x:v>
      </x:c>
      <x:c r="B12" s="35" t="n">
        <x:v>2500</x:v>
      </x:c>
      <x:c r="C12" s="31" t="str">
        <x:v>assumption</x:v>
      </x:c>
      <x:c r="D12" s="41" t="str">
        <x:v>low</x:v>
      </x:c>
      <x:c r="E12" s="41" t="str">
        <x:v>Placeholder blended inference/support cost per paid account; replace with account-level usage and infra allocation.</x:v>
      </x:c>
      <x:c r="F12" s="42" t="str"/>
    </x:row>
    <x:row r="13">
      <x:c r="A13" s="22" t="str">
        <x:v>Variable cost / free user</x:v>
      </x:c>
      <x:c r="B13" s="35" t="n">
        <x:v>50</x:v>
      </x:c>
      <x:c r="C13" s="31" t="str">
        <x:v>assumption</x:v>
      </x:c>
      <x:c r="D13" s="41" t="str">
        <x:v>low</x:v>
      </x:c>
      <x:c r="E13" s="41" t="str">
        <x:v>Placeholder expected credit/inference cost for an active free evaluator; enforce credit caps.</x:v>
      </x:c>
      <x:c r="F13" s="42" t="str"/>
    </x:row>
    <x:row r="14">
      <x:c r="A14" s="22" t="str">
        <x:v>Fixed monthly costs</x:v>
      </x:c>
      <x:c r="B14" s="35" t="n">
        <x:v>1500000</x:v>
      </x:c>
      <x:c r="C14" s="31" t="str">
        <x:v>assumption</x:v>
      </x:c>
      <x:c r="D14" s="41" t="str">
        <x:v>low</x:v>
      </x:c>
      <x:c r="E14" s="41" t="str">
        <x:v>Illustrative early commercial/product overhead; excludes full company cost allocation.</x:v>
      </x:c>
      <x:c r="F14" s="42" t="str"/>
    </x:row>
    <x:row r="15">
      <x:c r="A15" s="22" t="str">
        <x:v>Monthly acquisition spend</x:v>
      </x:c>
      <x:c r="B15" s="35" t="n">
        <x:v>250000</x:v>
      </x:c>
      <x:c r="C15" s="31" t="str">
        <x:v>assumption</x:v>
      </x:c>
      <x:c r="D15" s="41" t="str">
        <x:v>low</x:v>
      </x:c>
      <x:c r="E15" s="41" t="str">
        <x:v>Illustrative targeted pilot/content/partner spend; replace with approved budget.</x:v>
      </x:c>
      <x:c r="F15" s="42" t="str"/>
    </x:row>
    <x:row r="16">
      <x:c r="A16" s="22" t="str">
        <x:v>One-time revenue / new paid</x:v>
      </x:c>
      <x:c r="B16" s="35" t="n">
        <x:v>0</x:v>
      </x:c>
      <x:c r="C16" s="31" t="str">
        <x:v>assumption</x:v>
      </x:c>
      <x:c r="D16" s="41" t="str">
        <x:v>medium</x:v>
      </x:c>
      <x:c r="E16" s="41" t="str">
        <x:v>Base model keeps implementation/setup revenue at zero to test recurring usage economics.</x:v>
      </x:c>
      <x:c r="F16" s="42" t="str"/>
    </x:row>
    <x:row r="17">
      <x:c r="A17" s="25" t="str">
        <x:v>Starting cash</x:v>
      </x:c>
      <x:c r="B17" s="38" t="n">
        <x:v>10000000</x:v>
      </x:c>
      <x:c r="C17" s="36" t="str">
        <x:v>assumption</x:v>
      </x:c>
      <x:c r="D17" s="43" t="str">
        <x:v>low</x:v>
      </x:c>
      <x:c r="E17" s="43" t="str">
        <x:v>Illustrative opening cash only for runway visualization; not a claim about SarvamÃƒÂ¢Ã¢â€šÂ¬Ã¢â€žÂ¢s finances.</x:v>
      </x:c>
      <x:c r="F17" s="44" t="str"/>
    </x:row>
  </x:sheetData>
  <x:mergeCells>
    <x:mergeCell ref="A1:F1"/>
    <x:mergeCell ref="A2:F2"/>
  </x:mergeCells>
  <x:pageMargins left="0.7" right="0.7" top="0.75" bottom="0.75" header="0.3" footer="0.3"/>
  <x:legacyDrawing xmlns:r="http://schemas.openxmlformats.org/officeDocument/2006/relationships" r:id="R3ecda489f7c046d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34" hidden="0" customWidth="1"/>
    <x:col min="5" max="5" width="30" hidden="0" customWidth="1"/>
    <x:col min="6" max="6" width="20" hidden="0" customWidth="1"/>
    <x:col min="7" max="7" width="20" hidden="0" customWidth="1"/>
    <x:col min="8" max="8" width="26" hidden="0" customWidth="1"/>
  </x:cols>
  <x:sheetData>
    <x:row r="1" ht="32" customHeight="1">
      <x:c r="A1" s="3" t="str">
        <x:v>Pricing Architecture</x:v>
      </x:c>
      <x:c r="B1" s="3"/>
      <x:c r="C1" s="3"/>
      <x:c r="D1" s="3"/>
      <x:c r="E1" s="3"/>
      <x:c r="F1" s="3"/>
      <x:c r="G1" s="3"/>
      <x:c r="H1" s="3"/>
    </x:row>
    <x:row r="2" ht="26" customHeight="1">
      <x:c r="A2" s="7" t="str">
        <x:v>Edit price and paid mix to update every scenario.</x:v>
      </x:c>
      <x:c r="B2" s="7"/>
      <x:c r="C2" s="7"/>
      <x:c r="D2" s="7"/>
      <x:c r="E2" s="7"/>
      <x:c r="F2" s="7"/>
      <x:c r="G2" s="7"/>
      <x:c r="H2" s="7"/>
    </x:row>
    <x:row r="4">
      <x:c r="A4" s="16" t="str">
        <x:v>Tier</x:v>
      </x:c>
      <x:c r="B4" s="17" t="str">
        <x:v>Type</x:v>
      </x:c>
      <x:c r="C4" s="17" t="str">
        <x:v>Target segment</x:v>
      </x:c>
      <x:c r="D4" s="17" t="str">
        <x:v>Monthly price</x:v>
      </x:c>
      <x:c r="E4" s="17" t="str">
        <x:v>Paid mix</x:v>
      </x:c>
      <x:c r="F4" s="17" t="str">
        <x:v>Annual monthly equivalent</x:v>
      </x:c>
      <x:c r="G4" s="17" t="str">
        <x:v>Limits</x:v>
      </x:c>
      <x:c r="H4" s="18" t="str">
        <x:v>Upgrade trigger</x:v>
      </x:c>
    </x:row>
    <x:row r="5">
      <x:c r="A5" t="str">
        <x:v>Developer</x:v>
      </x:c>
      <x:c r="B5" t="str">
        <x:v>free</x:v>
      </x:c>
      <x:c r="C5" s="48" t="str">
        <x:v>Developers evaluating a workflow</x:v>
      </x:c>
      <x:c r="D5" s="46" t="n">
        <x:v>0</x:v>
      </x:c>
      <x:c r="E5" s="47" t="n">
        <x:v>0</x:v>
      </x:c>
      <x:c r="F5" s="46" t="n">
        <x:v>0</x:v>
      </x:c>
      <x:c r="G5" s="48" t="str">
        <x:v>Rate-limited credits; no production SLA</x:v>
      </x:c>
      <x:c r="H5" s="48" t="str">
        <x:v>Credits exhausted, higher rate limits, or production support needed</x:v>
      </x:c>
    </x:row>
    <x:row r="6">
      <x:c r="A6" t="str">
        <x:v>Pro</x:v>
      </x:c>
      <x:c r="B6" t="str">
        <x:v>paid</x:v>
      </x:c>
      <x:c r="C6" s="48" t="str">
        <x:v>Startups and POCs</x:v>
      </x:c>
      <x:c r="D6" s="46" t="n">
        <x:v>10000</x:v>
      </x:c>
      <x:c r="E6" s="47" t="n">
        <x:v>0.65</x:v>
      </x:c>
      <x:c r="F6" s="46" t="n">
        <x:v>8500</x:v>
      </x:c>
      <x:c r="G6" s="48" t="str">
        <x:v>Usage is metered; credits/bonus subject to current commercial terms</x:v>
      </x:c>
      <x:c r="H6" s="48" t="str">
        <x:v>Production usage, higher throughput, or solution support</x:v>
      </x:c>
    </x:row>
    <x:row r="7">
      <x:c r="A7" t="str">
        <x:v>Business</x:v>
      </x:c>
      <x:c r="B7" t="str">
        <x:v>paid</x:v>
      </x:c>
      <x:c r="C7" s="48" t="str">
        <x:v>Production workloads</x:v>
      </x:c>
      <x:c r="D7" s="46" t="n">
        <x:v>50000</x:v>
      </x:c>
      <x:c r="E7" s="47" t="n">
        <x:v>0.35</x:v>
      </x:c>
      <x:c r="F7" s="46" t="n">
        <x:v>42500</x:v>
      </x:c>
      <x:c r="G7" s="48" t="str">
        <x:v>Usage and support scope agreed by contract</x:v>
      </x:c>
      <x:c r="H7" s="48" t="str">
        <x:v>Volume, SLA, security, or deployment requirements</x:v>
      </x:c>
    </x:row>
    <x:row r="8">
      <x:c r="A8" t="str">
        <x:v>Enterprise</x:v>
      </x:c>
      <x:c r="B8" t="str">
        <x:v>contact</x:v>
      </x:c>
      <x:c r="C8" s="48" t="str">
        <x:v>Regulated/high-volume organizations</x:v>
      </x:c>
      <x:c r="D8" s="46" t="n">
        <x:v>100000</x:v>
      </x:c>
      <x:c r="E8" s="47" t="n">
        <x:v>0</x:v>
      </x:c>
      <x:c r="F8" s="46" t="n">
        <x:v>85000</x:v>
      </x:c>
      <x:c r="G8" s="48" t="str">
        <x:v>Custom contract</x:v>
      </x:c>
      <x:c r="H8" s="48" t="str">
        <x:v>Need for procurement, compliance, or dedicated deployment</x:v>
      </x:c>
    </x:row>
    <x:row r="18" ht="22" customHeight="1">
      <x:c r="A18" s="49" t="str">
        <x:v>Calculated Pricing Outputs</x:v>
      </x:c>
      <x:c r="B18" s="49"/>
      <x:c r="C18" s="49"/>
      <x:c r="D18" s="49"/>
      <x:c r="E18" s="49"/>
      <x:c r="F18" s="49"/>
      <x:c r="G18" s="49"/>
      <x:c r="H18" s="49"/>
    </x:row>
    <x:row r="19">
      <x:c r="A19" s="16" t="str">
        <x:v>Metric</x:v>
      </x:c>
      <x:c r="B19" s="18" t="str">
        <x:v>Result</x:v>
      </x:c>
      <x:c r="D19" s="16" t="str">
        <x:v>Model</x:v>
      </x:c>
      <x:c r="E19" s="17" t="str">
        <x:v>Free decision</x:v>
      </x:c>
      <x:c r="F19" s="17" t="str">
        <x:v>Trial</x:v>
      </x:c>
      <x:c r="G19" s="17" t="str">
        <x:v>Annual discount</x:v>
      </x:c>
      <x:c r="H19" s="18" t="str">
        <x:v>Lifetime</x:v>
      </x:c>
    </x:row>
    <x:row r="20">
      <x:c r="A20" t="str">
        <x:v>Weighted monthly ARPU</x:v>
      </x:c>
      <x:c r="B20" s="51" t="n">
        <x:f>SUMPRODUCT(D5:D8,E5:E8)</x:f>
        <x:v>24000</x:v>
      </x:c>
      <x:c r="D20" t="str">
        <x:v>Usage-based credits with prepaid Pro/Business plans and enterprise volume commitments</x:v>
      </x:c>
      <x:c r="E20" t="str">
        <x:v>Keep a constrained credit-based free entry point; cap abuse and avoid uncapped free inference.</x:v>
      </x:c>
      <x:c r="F20" t="str">
        <x:v>Fixed-credit or 14-day pilot, with one production workflow and explicit acceptance criteria.</x:v>
      </x:c>
      <x:c r="G20" s="52" t="n">
        <x:v>0.15</x:v>
      </x:c>
      <x:c r="H20" t="str">
        <x:v>NOT_RECOMMENDED</x:v>
      </x:c>
    </x:row>
  </x:sheetData>
  <x:mergeCells>
    <x:mergeCell ref="A1:H1"/>
    <x:mergeCell ref="A2:H2"/>
    <x:mergeCell ref="A18:H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" hidden="0" customWidth="1"/>
    <x:col min="8" max="8" width="14" hidden="0" customWidth="1"/>
    <x:col min="9" max="9" width="18" hidden="0" customWidth="1"/>
  </x:cols>
  <x:sheetData>
    <x:row r="1" ht="32" customHeight="1">
      <x:c r="A1" s="3" t="str">
        <x:v>Scenario Drivers</x:v>
      </x:c>
      <x:c r="B1" s="3"/>
      <x:c r="C1" s="3"/>
      <x:c r="D1" s="3"/>
      <x:c r="E1" s="3"/>
      <x:c r="F1" s="3"/>
      <x:c r="G1" s="3"/>
      <x:c r="H1" s="3"/>
      <x:c r="I1" s="3"/>
    </x:row>
    <x:row r="2" ht="26" customHeight="1">
      <x:c r="A2" s="7" t="str">
        <x:v>Base must remain 1.0. Conservative and optimistic are editable multipliers.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6" t="str">
        <x:v>Scenario</x:v>
      </x:c>
      <x:c r="B4" s="17" t="str">
        <x:v>New free</x:v>
      </x:c>
      <x:c r="C4" s="17" t="str">
        <x:v>Conversion</x:v>
      </x:c>
      <x:c r="D4" s="17" t="str">
        <x:v>Direct paid</x:v>
      </x:c>
      <x:c r="E4" s="17" t="str">
        <x:v>Churn</x:v>
      </x:c>
      <x:c r="F4" s="17" t="str">
        <x:v>ARPU</x:v>
      </x:c>
      <x:c r="G4" s="17" t="str">
        <x:v>Variable cost</x:v>
      </x:c>
      <x:c r="H4" s="17" t="str">
        <x:v>Fixed cost</x:v>
      </x:c>
      <x:c r="I4" s="18" t="str">
        <x:v>Acquisition spend</x:v>
      </x:c>
    </x:row>
    <x:row r="5">
      <x:c r="A5" s="19" t="str">
        <x:v>conservative</x:v>
      </x:c>
      <x:c r="B5" s="54" t="n">
        <x:v>0.7</x:v>
      </x:c>
      <x:c r="C5" s="54" t="n">
        <x:v>0.7</x:v>
      </x:c>
      <x:c r="D5" s="54" t="n">
        <x:v>0.6</x:v>
      </x:c>
      <x:c r="E5" s="54" t="n">
        <x:v>1.4</x:v>
      </x:c>
      <x:c r="F5" s="54" t="n">
        <x:v>0.9</x:v>
      </x:c>
      <x:c r="G5" s="54" t="n">
        <x:v>1.2</x:v>
      </x:c>
      <x:c r="H5" s="54" t="n">
        <x:v>1.1</x:v>
      </x:c>
      <x:c r="I5" s="55" t="n">
        <x:v>0.8</x:v>
      </x:c>
    </x:row>
    <x:row r="6">
      <x:c r="A6" s="22" t="str">
        <x:v>base</x:v>
      </x:c>
      <x:c r="B6" s="56" t="n">
        <x:v>1</x:v>
      </x:c>
      <x:c r="C6" s="56" t="n">
        <x:v>1</x:v>
      </x:c>
      <x:c r="D6" s="56" t="n">
        <x:v>1</x:v>
      </x:c>
      <x:c r="E6" s="56" t="n">
        <x:v>1</x:v>
      </x:c>
      <x:c r="F6" s="56" t="n">
        <x:v>1</x:v>
      </x:c>
      <x:c r="G6" s="56" t="n">
        <x:v>1</x:v>
      </x:c>
      <x:c r="H6" s="56" t="n">
        <x:v>1</x:v>
      </x:c>
      <x:c r="I6" s="57" t="n">
        <x:v>1</x:v>
      </x:c>
    </x:row>
    <x:row r="7">
      <x:c r="A7" s="25" t="str">
        <x:v>optimistic</x:v>
      </x:c>
      <x:c r="B7" s="58" t="n">
        <x:v>1.5</x:v>
      </x:c>
      <x:c r="C7" s="58" t="n">
        <x:v>1.3</x:v>
      </x:c>
      <x:c r="D7" s="58" t="n">
        <x:v>1.5</x:v>
      </x:c>
      <x:c r="E7" s="58" t="n">
        <x:v>0.75</x:v>
      </x:c>
      <x:c r="F7" s="58" t="n">
        <x:v>1.1</x:v>
      </x:c>
      <x:c r="G7" s="58" t="n">
        <x:v>0.9</x:v>
      </x:c>
      <x:c r="H7" s="58" t="n">
        <x:v>1</x:v>
      </x:c>
      <x:c r="I7" s="59" t="n">
        <x:v>1.3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2" customHeight="1">
      <x:c r="A1" s="3" t="str">
        <x:v>12-Month Forecast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6" customHeight="1">
      <x:c r="A2" s="7" t="str">
        <x:v>Formula-driven customer, revenue, cost, profit, and cash model.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5" ht="22" customHeight="1">
      <x:c r="A5" s="49" t="str">
        <x:v>CONSERVATIVE SCENARIO</x:v>
      </x:c>
      <x:c r="B5" s="49"/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</x:row>
    <x:row r="6">
      <x:c r="B6" s="16" t="str">
        <x:v>Metric</x:v>
      </x:c>
      <x:c r="C6" s="17" t="str">
        <x:v>M1</x:v>
      </x:c>
      <x:c r="D6" s="17" t="str">
        <x:v>M2</x:v>
      </x:c>
      <x:c r="E6" s="17" t="str">
        <x:v>M3</x:v>
      </x:c>
      <x:c r="F6" s="17" t="str">
        <x:v>M4</x:v>
      </x:c>
      <x:c r="G6" s="17" t="str">
        <x:v>M5</x:v>
      </x:c>
      <x:c r="H6" s="17" t="str">
        <x:v>M6</x:v>
      </x:c>
      <x:c r="I6" s="17" t="str">
        <x:v>M7</x:v>
      </x:c>
      <x:c r="J6" s="17" t="str">
        <x:v>M8</x:v>
      </x:c>
      <x:c r="K6" s="17" t="str">
        <x:v>M9</x:v>
      </x:c>
      <x:c r="L6" s="17" t="str">
        <x:v>M10</x:v>
      </x:c>
      <x:c r="M6" s="17" t="str">
        <x:v>M11</x:v>
      </x:c>
      <x:c r="N6" s="18" t="str">
        <x:v>M12</x:v>
      </x:c>
    </x:row>
    <x:row r="7">
      <x:c r="B7" t="str">
        <x:v>Opening free users</x:v>
      </x:c>
      <x:c r="C7" s="62" t="n">
        <x:f>'Inputs'!$B$5</x:f>
        <x:v>0</x:v>
      </x:c>
      <x:c r="D7" s="62" t="n">
        <x:f>C10</x:f>
        <x:v>70</x:v>
      </x:c>
      <x:c r="E7" s="62" t="n">
        <x:f>D10</x:f>
        <x:v>138.53</x:v>
      </x:c>
      <x:c r="F7" s="62" t="n">
        <x:f>E10</x:f>
        <x:v>205.62087</x:v>
      </x:c>
      <x:c r="G7" s="62" t="n">
        <x:f>F10</x:f>
        <x:v>271.30283173</x:v>
      </x:c>
      <x:c r="H7" s="62" t="n">
        <x:f>G10</x:f>
        <x:v>335.60547226367</x:v>
      </x:c>
      <x:c r="I7" s="62" t="n">
        <x:f>H10</x:f>
        <x:v>398.5577573461329</x:v>
      </x:c>
      <x:c r="J7" s="62" t="n">
        <x:f>I10</x:f>
        <x:v>460.1880444418641</x:v>
      </x:c>
      <x:c r="K7" s="62" t="n">
        <x:f>J10</x:f>
        <x:v>520.524095508585</x:v>
      </x:c>
      <x:c r="L7" s="62" t="n">
        <x:f>K10</x:f>
        <x:v>579.5930895029047</x:v>
      </x:c>
      <x:c r="M7" s="62" t="n">
        <x:f>L10</x:f>
        <x:v>637.4216346233437</x:v>
      </x:c>
      <x:c r="N7" s="62" t="n">
        <x:f>M10</x:f>
        <x:v>694.0357802962535</x:v>
      </x:c>
    </x:row>
    <x:row r="8">
      <x:c r="B8" t="str">
        <x:v>New free users</x:v>
      </x:c>
      <x:c r="C8" s="62" t="n">
        <x:f>'Inputs'!$B$7*'Scenarios'!$B$5</x:f>
        <x:v>70</x:v>
      </x:c>
      <x:c r="D8" s="62" t="n">
        <x:f>'Inputs'!$B$7*'Scenarios'!$B$5</x:f>
        <x:v>70</x:v>
      </x:c>
      <x:c r="E8" s="62" t="n">
        <x:f>'Inputs'!$B$7*'Scenarios'!$B$5</x:f>
        <x:v>70</x:v>
      </x:c>
      <x:c r="F8" s="62" t="n">
        <x:f>'Inputs'!$B$7*'Scenarios'!$B$5</x:f>
        <x:v>70</x:v>
      </x:c>
      <x:c r="G8" s="62" t="n">
        <x:f>'Inputs'!$B$7*'Scenarios'!$B$5</x:f>
        <x:v>70</x:v>
      </x:c>
      <x:c r="H8" s="62" t="n">
        <x:f>'Inputs'!$B$7*'Scenarios'!$B$5</x:f>
        <x:v>70</x:v>
      </x:c>
      <x:c r="I8" s="62" t="n">
        <x:f>'Inputs'!$B$7*'Scenarios'!$B$5</x:f>
        <x:v>70</x:v>
      </x:c>
      <x:c r="J8" s="62" t="n">
        <x:f>'Inputs'!$B$7*'Scenarios'!$B$5</x:f>
        <x:v>70</x:v>
      </x:c>
      <x:c r="K8" s="62" t="n">
        <x:f>'Inputs'!$B$7*'Scenarios'!$B$5</x:f>
        <x:v>70</x:v>
      </x:c>
      <x:c r="L8" s="62" t="n">
        <x:f>'Inputs'!$B$7*'Scenarios'!$B$5</x:f>
        <x:v>70</x:v>
      </x:c>
      <x:c r="M8" s="62" t="n">
        <x:f>'Inputs'!$B$7*'Scenarios'!$B$5</x:f>
        <x:v>70</x:v>
      </x:c>
      <x:c r="N8" s="62" t="n">
        <x:f>'Inputs'!$B$7*'Scenarios'!$B$5</x:f>
        <x:v>70</x:v>
      </x:c>
    </x:row>
    <x:row r="9">
      <x:c r="B9" t="str">
        <x:v>Free users converted</x:v>
      </x:c>
      <x:c r="C9" s="62" t="n">
        <x:f>C7*'Inputs'!$B$8*'Scenarios'!$C$5</x:f>
        <x:v>0</x:v>
      </x:c>
      <x:c r="D9" s="62" t="n">
        <x:f>D7*'Inputs'!$B$8*'Scenarios'!$C$5</x:f>
        <x:v>1.47</x:v>
      </x:c>
      <x:c r="E9" s="62" t="n">
        <x:f>E7*'Inputs'!$B$8*'Scenarios'!$C$5</x:f>
        <x:v>2.9091299999999998</x:v>
      </x:c>
      <x:c r="F9" s="62" t="n">
        <x:f>F7*'Inputs'!$B$8*'Scenarios'!$C$5</x:f>
        <x:v>4.31803827</x:v>
      </x:c>
      <x:c r="G9" s="62" t="n">
        <x:f>G7*'Inputs'!$B$8*'Scenarios'!$C$5</x:f>
        <x:v>5.697359466329999</x:v>
      </x:c>
      <x:c r="H9" s="62" t="n">
        <x:f>H7*'Inputs'!$B$8*'Scenarios'!$C$5</x:f>
        <x:v>7.0477149175370695</x:v>
      </x:c>
      <x:c r="I9" s="62" t="n">
        <x:f>I7*'Inputs'!$B$8*'Scenarios'!$C$5</x:f>
        <x:v>8.369712904268791</x:v>
      </x:c>
      <x:c r="J9" s="62" t="n">
        <x:f>J7*'Inputs'!$B$8*'Scenarios'!$C$5</x:f>
        <x:v>9.663948933279146</x:v>
      </x:c>
      <x:c r="K9" s="62" t="n">
        <x:f>K7*'Inputs'!$B$8*'Scenarios'!$C$5</x:f>
        <x:v>10.931006005680283</x:v>
      </x:c>
      <x:c r="L9" s="62" t="n">
        <x:f>L7*'Inputs'!$B$8*'Scenarios'!$C$5</x:f>
        <x:v>12.171454879560999</x:v>
      </x:c>
      <x:c r="M9" s="62" t="n">
        <x:f>M7*'Inputs'!$B$8*'Scenarios'!$C$5</x:f>
        <x:v>13.385854327090216</x:v>
      </x:c>
      <x:c r="N9" s="62" t="n">
        <x:f>N7*'Inputs'!$B$8*'Scenarios'!$C$5</x:f>
        <x:v>14.57475138622132</x:v>
      </x:c>
    </x:row>
    <x:row r="10">
      <x:c r="B10" t="str">
        <x:v>Ending free users</x:v>
      </x:c>
      <x:c r="C10" s="62" t="n">
        <x:f>MAX(0,C7+C8-C9)</x:f>
        <x:v>70</x:v>
      </x:c>
      <x:c r="D10" s="62" t="n">
        <x:f>MAX(0,D7+D8-D9)</x:f>
        <x:v>138.53</x:v>
      </x:c>
      <x:c r="E10" s="62" t="n">
        <x:f>MAX(0,E7+E8-E9)</x:f>
        <x:v>205.62087</x:v>
      </x:c>
      <x:c r="F10" s="62" t="n">
        <x:f>MAX(0,F7+F8-F9)</x:f>
        <x:v>271.30283173</x:v>
      </x:c>
      <x:c r="G10" s="62" t="n">
        <x:f>MAX(0,G7+G8-G9)</x:f>
        <x:v>335.60547226367</x:v>
      </x:c>
      <x:c r="H10" s="62" t="n">
        <x:f>MAX(0,H7+H8-H9)</x:f>
        <x:v>398.5577573461329</x:v>
      </x:c>
      <x:c r="I10" s="62" t="n">
        <x:f>MAX(0,I7+I8-I9)</x:f>
        <x:v>460.1880444418641</x:v>
      </x:c>
      <x:c r="J10" s="62" t="n">
        <x:f>MAX(0,J7+J8-J9)</x:f>
        <x:v>520.524095508585</x:v>
      </x:c>
      <x:c r="K10" s="62" t="n">
        <x:f>MAX(0,K7+K8-K9)</x:f>
        <x:v>579.5930895029047</x:v>
      </x:c>
      <x:c r="L10" s="62" t="n">
        <x:f>MAX(0,L7+L8-L9)</x:f>
        <x:v>637.4216346233437</x:v>
      </x:c>
      <x:c r="M10" s="62" t="n">
        <x:f>MAX(0,M7+M8-M9)</x:f>
        <x:v>694.0357802962535</x:v>
      </x:c>
      <x:c r="N10" s="62" t="n">
        <x:f>MAX(0,N7+N8-N9)</x:f>
        <x:v>749.4610289100322</x:v>
      </x:c>
    </x:row>
    <x:row r="11">
      <x:c r="B11" t="str">
        <x:v>Opening paid customers</x:v>
      </x:c>
      <x:c r="C11" s="62" t="n">
        <x:f>'Inputs'!$B$6</x:f>
        <x:v>0</x:v>
      </x:c>
      <x:c r="D11" s="62" t="n">
        <x:f>C15</x:f>
        <x:v>0.6</x:v>
      </x:c>
      <x:c r="E11" s="62" t="n">
        <x:f>D15</x:f>
        <x:v>2.6448</x:v>
      </x:c>
      <x:c r="F11" s="62" t="n">
        <x:f>E15</x:f>
        <x:v>6.0428484</x:v>
      </x:c>
      <x:c r="G11" s="62" t="n">
        <x:f>F15</x:f>
        <x:v>10.707087037199999</x:v>
      </x:c>
      <x:c r="H11" s="62" t="n">
        <x:f>G15</x:f>
        <x:v>16.5547488479676</x:v>
      </x:c>
      <x:c r="I11" s="62" t="n">
        <x:f>H15</x:f>
        <x:v>23.50716431389003</x:v>
      </x:c>
      <x:c r="J11" s="62" t="n">
        <x:f>I15</x:f>
        <x:v>31.489576316975437</x:v>
      </x:c>
      <x:c r="K11" s="62" t="n">
        <x:f>J15</x:f>
        <x:v>40.43096304494161</x:v>
      </x:c>
      <x:c r="L11" s="62" t="n">
        <x:f>K15</x:f>
        <x:v>50.26386860273435</x:v>
      </x:c>
      <x:c r="M11" s="62" t="n">
        <x:f>L15</x:f>
        <x:v>60.9242410009805</x:v>
      </x:c>
      <x:c r="N11" s="62" t="n">
        <x:f>M15</x:f>
        <x:v>72.35127720602955</x:v>
      </x:c>
    </x:row>
    <x:row r="12">
      <x:c r="B12" t="str">
        <x:v>Direct new paid</x:v>
      </x:c>
      <x:c r="C12" s="62" t="n">
        <x:f>'Inputs'!$B$9*'Scenarios'!$D$5</x:f>
        <x:v>0.6</x:v>
      </x:c>
      <x:c r="D12" s="62" t="n">
        <x:f>'Inputs'!$B$9*'Scenarios'!$D$5</x:f>
        <x:v>0.6</x:v>
      </x:c>
      <x:c r="E12" s="62" t="n">
        <x:f>'Inputs'!$B$9*'Scenarios'!$D$5</x:f>
        <x:v>0.6</x:v>
      </x:c>
      <x:c r="F12" s="62" t="n">
        <x:f>'Inputs'!$B$9*'Scenarios'!$D$5</x:f>
        <x:v>0.6</x:v>
      </x:c>
      <x:c r="G12" s="62" t="n">
        <x:f>'Inputs'!$B$9*'Scenarios'!$D$5</x:f>
        <x:v>0.6</x:v>
      </x:c>
      <x:c r="H12" s="62" t="n">
        <x:f>'Inputs'!$B$9*'Scenarios'!$D$5</x:f>
        <x:v>0.6</x:v>
      </x:c>
      <x:c r="I12" s="62" t="n">
        <x:f>'Inputs'!$B$9*'Scenarios'!$D$5</x:f>
        <x:v>0.6</x:v>
      </x:c>
      <x:c r="J12" s="62" t="n">
        <x:f>'Inputs'!$B$9*'Scenarios'!$D$5</x:f>
        <x:v>0.6</x:v>
      </x:c>
      <x:c r="K12" s="62" t="n">
        <x:f>'Inputs'!$B$9*'Scenarios'!$D$5</x:f>
        <x:v>0.6</x:v>
      </x:c>
      <x:c r="L12" s="62" t="n">
        <x:f>'Inputs'!$B$9*'Scenarios'!$D$5</x:f>
        <x:v>0.6</x:v>
      </x:c>
      <x:c r="M12" s="62" t="n">
        <x:f>'Inputs'!$B$9*'Scenarios'!$D$5</x:f>
        <x:v>0.6</x:v>
      </x:c>
      <x:c r="N12" s="62" t="n">
        <x:f>'Inputs'!$B$9*'Scenarios'!$D$5</x:f>
        <x:v>0.6</x:v>
      </x:c>
    </x:row>
    <x:row r="13">
      <x:c r="B13" t="str">
        <x:v>Total new paid</x:v>
      </x:c>
      <x:c r="C13" s="62" t="n">
        <x:f>C9+C12</x:f>
        <x:v>0.6</x:v>
      </x:c>
      <x:c r="D13" s="62" t="n">
        <x:f>D9+D12</x:f>
        <x:v>2.07</x:v>
      </x:c>
      <x:c r="E13" s="62" t="n">
        <x:f>E9+E12</x:f>
        <x:v>3.50913</x:v>
      </x:c>
      <x:c r="F13" s="62" t="n">
        <x:f>F9+F12</x:f>
        <x:v>4.918038269999999</x:v>
      </x:c>
      <x:c r="G13" s="62" t="n">
        <x:f>G9+G12</x:f>
        <x:v>6.297359466329999</x:v>
      </x:c>
      <x:c r="H13" s="62" t="n">
        <x:f>H9+H12</x:f>
        <x:v>7.647714917537069</x:v>
      </x:c>
      <x:c r="I13" s="62" t="n">
        <x:f>I9+I12</x:f>
        <x:v>8.96971290426879</x:v>
      </x:c>
      <x:c r="J13" s="62" t="n">
        <x:f>J9+J12</x:f>
        <x:v>10.263948933279146</x:v>
      </x:c>
      <x:c r="K13" s="62" t="n">
        <x:f>K9+K12</x:f>
        <x:v>11.531006005680283</x:v>
      </x:c>
      <x:c r="L13" s="62" t="n">
        <x:f>L9+L12</x:f>
        <x:v>12.771454879560999</x:v>
      </x:c>
      <x:c r="M13" s="62" t="n">
        <x:f>M9+M12</x:f>
        <x:v>13.985854327090216</x:v>
      </x:c>
      <x:c r="N13" s="62" t="n">
        <x:f>N9+N12</x:f>
        <x:v>15.17475138622132</x:v>
      </x:c>
    </x:row>
    <x:row r="14">
      <x:c r="B14" t="str">
        <x:v>Paid customers churned</x:v>
      </x:c>
      <x:c r="C14" s="62" t="n">
        <x:f>C11*'Inputs'!$B$10*'Scenarios'!$E$5</x:f>
        <x:v>0</x:v>
      </x:c>
      <x:c r="D14" s="62" t="n">
        <x:f>D11*'Inputs'!$B$10*'Scenarios'!$E$5</x:f>
        <x:v>0.025199999999999997</x:v>
      </x:c>
      <x:c r="E14" s="62" t="n">
        <x:f>E11*'Inputs'!$B$10*'Scenarios'!$E$5</x:f>
        <x:v>0.11108159999999999</x:v>
      </x:c>
      <x:c r="F14" s="62" t="n">
        <x:f>F11*'Inputs'!$B$10*'Scenarios'!$E$5</x:f>
        <x:v>0.25379963279999995</x:v>
      </x:c>
      <x:c r="G14" s="62" t="n">
        <x:f>G11*'Inputs'!$B$10*'Scenarios'!$E$5</x:f>
        <x:v>0.44969765556239993</x:v>
      </x:c>
      <x:c r="H14" s="62" t="n">
        <x:f>H11*'Inputs'!$B$10*'Scenarios'!$E$5</x:f>
        <x:v>0.6952994516146391</x:v>
      </x:c>
      <x:c r="I14" s="62" t="n">
        <x:f>I11*'Inputs'!$B$10*'Scenarios'!$E$5</x:f>
        <x:v>0.9873009011833811</x:v>
      </x:c>
      <x:c r="J14" s="62" t="n">
        <x:f>J11*'Inputs'!$B$10*'Scenarios'!$E$5</x:f>
        <x:v>1.3225622053129682</x:v>
      </x:c>
      <x:c r="K14" s="62" t="n">
        <x:f>K11*'Inputs'!$B$10*'Scenarios'!$E$5</x:f>
        <x:v>1.6981004478875477</x:v>
      </x:c>
      <x:c r="L14" s="62" t="n">
        <x:f>L11*'Inputs'!$B$10*'Scenarios'!$E$5</x:f>
        <x:v>2.1110824813148423</x:v>
      </x:c>
      <x:c r="M14" s="62" t="n">
        <x:f>M11*'Inputs'!$B$10*'Scenarios'!$E$5</x:f>
        <x:v>2.5588181220411808</x:v>
      </x:c>
      <x:c r="N14" s="62" t="n">
        <x:f>N11*'Inputs'!$B$10*'Scenarios'!$E$5</x:f>
        <x:v>3.0387536426532407</x:v>
      </x:c>
    </x:row>
    <x:row r="15">
      <x:c r="B15" t="str">
        <x:v>Ending paid customers</x:v>
      </x:c>
      <x:c r="C15" s="62" t="n">
        <x:f>MAX(0,C11+C13-C14)</x:f>
        <x:v>0.6</x:v>
      </x:c>
      <x:c r="D15" s="62" t="n">
        <x:f>MAX(0,D11+D13-D14)</x:f>
        <x:v>2.6448</x:v>
      </x:c>
      <x:c r="E15" s="62" t="n">
        <x:f>MAX(0,E11+E13-E14)</x:f>
        <x:v>6.0428484</x:v>
      </x:c>
      <x:c r="F15" s="62" t="n">
        <x:f>MAX(0,F11+F13-F14)</x:f>
        <x:v>10.707087037199999</x:v>
      </x:c>
      <x:c r="G15" s="62" t="n">
        <x:f>MAX(0,G11+G13-G14)</x:f>
        <x:v>16.5547488479676</x:v>
      </x:c>
      <x:c r="H15" s="62" t="n">
        <x:f>MAX(0,H11+H13-H14)</x:f>
        <x:v>23.50716431389003</x:v>
      </x:c>
      <x:c r="I15" s="62" t="n">
        <x:f>MAX(0,I11+I13-I14)</x:f>
        <x:v>31.489576316975437</x:v>
      </x:c>
      <x:c r="J15" s="62" t="n">
        <x:f>MAX(0,J11+J13-J14)</x:f>
        <x:v>40.43096304494161</x:v>
      </x:c>
      <x:c r="K15" s="62" t="n">
        <x:f>MAX(0,K11+K13-K14)</x:f>
        <x:v>50.26386860273435</x:v>
      </x:c>
      <x:c r="L15" s="62" t="n">
        <x:f>MAX(0,L11+L13-L14)</x:f>
        <x:v>60.9242410009805</x:v>
      </x:c>
      <x:c r="M15" s="62" t="n">
        <x:f>MAX(0,M11+M13-M14)</x:f>
        <x:v>72.35127720602955</x:v>
      </x:c>
      <x:c r="N15" s="62" t="n">
        <x:f>MAX(0,N11+N13-N14)</x:f>
        <x:v>84.48727494959763</x:v>
      </x:c>
    </x:row>
    <x:row r="16">
      <x:c r="B16" t="str">
        <x:v>Average free users</x:v>
      </x:c>
      <x:c r="C16" s="62" t="n">
        <x:f>(C7+C10)/2</x:f>
        <x:v>35</x:v>
      </x:c>
      <x:c r="D16" s="62" t="n">
        <x:f>(D7+D10)/2</x:f>
        <x:v>104.265</x:v>
      </x:c>
      <x:c r="E16" s="62" t="n">
        <x:f>(E7+E10)/2</x:f>
        <x:v>172.075435</x:v>
      </x:c>
      <x:c r="F16" s="62" t="n">
        <x:f>(F7+F10)/2</x:f>
        <x:v>238.46185086499997</x:v>
      </x:c>
      <x:c r="G16" s="62" t="n">
        <x:f>(G7+G10)/2</x:f>
        <x:v>303.454151996835</x:v>
      </x:c>
      <x:c r="H16" s="62" t="n">
        <x:f>(H7+H10)/2</x:f>
        <x:v>367.08161480490145</x:v>
      </x:c>
      <x:c r="I16" s="62" t="n">
        <x:f>(I7+I10)/2</x:f>
        <x:v>429.3729008939985</x:v>
      </x:c>
      <x:c r="J16" s="62" t="n">
        <x:f>(J7+J10)/2</x:f>
        <x:v>490.35606997522456</x:v>
      </x:c>
      <x:c r="K16" s="62" t="n">
        <x:f>(K7+K10)/2</x:f>
        <x:v>550.0585925057449</x:v>
      </x:c>
      <x:c r="L16" s="62" t="n">
        <x:f>(L7+L10)/2</x:f>
        <x:v>608.5073620631242</x:v>
      </x:c>
      <x:c r="M16" s="62" t="n">
        <x:f>(M7+M10)/2</x:f>
        <x:v>665.7287074597987</x:v>
      </x:c>
      <x:c r="N16" s="62" t="n">
        <x:f>(N7+N10)/2</x:f>
        <x:v>721.7484046031428</x:v>
      </x:c>
    </x:row>
    <x:row r="17">
      <x:c r="B17" t="str">
        <x:v>Average paid customers</x:v>
      </x:c>
      <x:c r="C17" s="62" t="n">
        <x:f>(C11+C15)/2</x:f>
        <x:v>0.3</x:v>
      </x:c>
      <x:c r="D17" s="62" t="n">
        <x:f>(D11+D15)/2</x:f>
        <x:v>1.6224</x:v>
      </x:c>
      <x:c r="E17" s="62" t="n">
        <x:f>(E11+E15)/2</x:f>
        <x:v>4.3438242</x:v>
      </x:c>
      <x:c r="F17" s="62" t="n">
        <x:f>(F11+F15)/2</x:f>
        <x:v>8.374967718599999</x:v>
      </x:c>
      <x:c r="G17" s="62" t="n">
        <x:f>(G11+G15)/2</x:f>
        <x:v>13.6309179425838</x:v>
      </x:c>
      <x:c r="H17" s="62" t="n">
        <x:f>(H11+H15)/2</x:f>
        <x:v>20.030956580928816</x:v>
      </x:c>
      <x:c r="I17" s="62" t="n">
        <x:f>(I11+I15)/2</x:f>
        <x:v>27.498370315432734</x:v>
      </x:c>
      <x:c r="J17" s="62" t="n">
        <x:f>(J11+J15)/2</x:f>
        <x:v>35.960269680958525</x:v>
      </x:c>
      <x:c r="K17" s="62" t="n">
        <x:f>(K11+K15)/2</x:f>
        <x:v>45.34741582383798</x:v>
      </x:c>
      <x:c r="L17" s="62" t="n">
        <x:f>(L11+L15)/2</x:f>
        <x:v>55.594054801857425</x:v>
      </x:c>
      <x:c r="M17" s="62" t="n">
        <x:f>(M11+M15)/2</x:f>
        <x:v>66.63775910350503</x:v>
      </x:c>
      <x:c r="N17" s="62" t="n">
        <x:f>(N11+N15)/2</x:f>
        <x:v>78.41927607781359</x:v>
      </x:c>
    </x:row>
    <x:row r="18">
      <x:c r="B18" t="str">
        <x:v>Effective monthly ARPU</x:v>
      </x:c>
      <x:c r="C18" s="63" t="n">
        <x:f>IF('Inputs'!$B$11&gt;0,'Inputs'!$B$11,'Pricing'!$B$20)*'Scenarios'!$F$5</x:f>
        <x:v>21600</x:v>
      </x:c>
      <x:c r="D18" s="63" t="n">
        <x:f>IF('Inputs'!$B$11&gt;0,'Inputs'!$B$11,'Pricing'!$B$20)*'Scenarios'!$F$5</x:f>
        <x:v>21600</x:v>
      </x:c>
      <x:c r="E18" s="63" t="n">
        <x:f>IF('Inputs'!$B$11&gt;0,'Inputs'!$B$11,'Pricing'!$B$20)*'Scenarios'!$F$5</x:f>
        <x:v>21600</x:v>
      </x:c>
      <x:c r="F18" s="63" t="n">
        <x:f>IF('Inputs'!$B$11&gt;0,'Inputs'!$B$11,'Pricing'!$B$20)*'Scenarios'!$F$5</x:f>
        <x:v>21600</x:v>
      </x:c>
      <x:c r="G18" s="63" t="n">
        <x:f>IF('Inputs'!$B$11&gt;0,'Inputs'!$B$11,'Pricing'!$B$20)*'Scenarios'!$F$5</x:f>
        <x:v>21600</x:v>
      </x:c>
      <x:c r="H18" s="63" t="n">
        <x:f>IF('Inputs'!$B$11&gt;0,'Inputs'!$B$11,'Pricing'!$B$20)*'Scenarios'!$F$5</x:f>
        <x:v>21600</x:v>
      </x:c>
      <x:c r="I18" s="63" t="n">
        <x:f>IF('Inputs'!$B$11&gt;0,'Inputs'!$B$11,'Pricing'!$B$20)*'Scenarios'!$F$5</x:f>
        <x:v>21600</x:v>
      </x:c>
      <x:c r="J18" s="63" t="n">
        <x:f>IF('Inputs'!$B$11&gt;0,'Inputs'!$B$11,'Pricing'!$B$20)*'Scenarios'!$F$5</x:f>
        <x:v>21600</x:v>
      </x:c>
      <x:c r="K18" s="63" t="n">
        <x:f>IF('Inputs'!$B$11&gt;0,'Inputs'!$B$11,'Pricing'!$B$20)*'Scenarios'!$F$5</x:f>
        <x:v>21600</x:v>
      </x:c>
      <x:c r="L18" s="63" t="n">
        <x:f>IF('Inputs'!$B$11&gt;0,'Inputs'!$B$11,'Pricing'!$B$20)*'Scenarios'!$F$5</x:f>
        <x:v>21600</x:v>
      </x:c>
      <x:c r="M18" s="63" t="n">
        <x:f>IF('Inputs'!$B$11&gt;0,'Inputs'!$B$11,'Pricing'!$B$20)*'Scenarios'!$F$5</x:f>
        <x:v>21600</x:v>
      </x:c>
      <x:c r="N18" s="63" t="n">
        <x:f>IF('Inputs'!$B$11&gt;0,'Inputs'!$B$11,'Pricing'!$B$20)*'Scenarios'!$F$5</x:f>
        <x:v>21600</x:v>
      </x:c>
    </x:row>
    <x:row r="19">
      <x:c r="B19" t="str">
        <x:v>Subscription revenue</x:v>
      </x:c>
      <x:c r="C19" s="63" t="n">
        <x:f>C17*C18</x:f>
        <x:v>6480</x:v>
      </x:c>
      <x:c r="D19" s="63" t="n">
        <x:f>D17*D18</x:f>
        <x:v>35043.840000000004</x:v>
      </x:c>
      <x:c r="E19" s="63" t="n">
        <x:f>E17*E18</x:f>
        <x:v>93826.60272000001</x:v>
      </x:c>
      <x:c r="F19" s="63" t="n">
        <x:f>F17*F18</x:f>
        <x:v>180899.30272175997</x:v>
      </x:c>
      <x:c r="G19" s="63" t="n">
        <x:f>G17*G18</x:f>
        <x:v>294427.8275598101</x:v>
      </x:c>
      <x:c r="H19" s="63" t="n">
        <x:f>H17*H18</x:f>
        <x:v>432668.66214806243</x:v>
      </x:c>
      <x:c r="I19" s="63" t="n">
        <x:f>I17*I18</x:f>
        <x:v>593964.798813347</x:v>
      </x:c>
      <x:c r="J19" s="63" t="n">
        <x:f>J17*J18</x:f>
        <x:v>776741.8251087042</x:v>
      </x:c>
      <x:c r="K19" s="63" t="n">
        <x:f>K17*K18</x:f>
        <x:v>979504.1817949003</x:v>
      </x:c>
      <x:c r="L19" s="63" t="n">
        <x:f>L17*L18</x:f>
        <x:v>1200831.5837201204</x:v>
      </x:c>
      <x:c r="M19" s="63" t="n">
        <x:f>M17*M18</x:f>
        <x:v>1439375.5966357088</x:v>
      </x:c>
      <x:c r="N19" s="63" t="n">
        <x:f>N17*N18</x:f>
        <x:v>1693856.3632807736</x:v>
      </x:c>
    </x:row>
    <x:row r="20">
      <x:c r="B20" t="str">
        <x:v>One-time revenue</x:v>
      </x:c>
      <x:c r="C20" s="63" t="n">
        <x:f>C13*'Inputs'!$B$16</x:f>
        <x:v>0</x:v>
      </x:c>
      <x:c r="D20" s="63" t="n">
        <x:f>D13*'Inputs'!$B$16</x:f>
        <x:v>0</x:v>
      </x:c>
      <x:c r="E20" s="63" t="n">
        <x:f>E13*'Inputs'!$B$16</x:f>
        <x:v>0</x:v>
      </x:c>
      <x:c r="F20" s="63" t="n">
        <x:f>F13*'Inputs'!$B$16</x:f>
        <x:v>0</x:v>
      </x:c>
      <x:c r="G20" s="63" t="n">
        <x:f>G13*'Inputs'!$B$16</x:f>
        <x:v>0</x:v>
      </x:c>
      <x:c r="H20" s="63" t="n">
        <x:f>H13*'Inputs'!$B$16</x:f>
        <x:v>0</x:v>
      </x:c>
      <x:c r="I20" s="63" t="n">
        <x:f>I13*'Inputs'!$B$16</x:f>
        <x:v>0</x:v>
      </x:c>
      <x:c r="J20" s="63" t="n">
        <x:f>J13*'Inputs'!$B$16</x:f>
        <x:v>0</x:v>
      </x:c>
      <x:c r="K20" s="63" t="n">
        <x:f>K13*'Inputs'!$B$16</x:f>
        <x:v>0</x:v>
      </x:c>
      <x:c r="L20" s="63" t="n">
        <x:f>L13*'Inputs'!$B$16</x:f>
        <x:v>0</x:v>
      </x:c>
      <x:c r="M20" s="63" t="n">
        <x:f>M13*'Inputs'!$B$16</x:f>
        <x:v>0</x:v>
      </x:c>
      <x:c r="N20" s="63" t="n">
        <x:f>N13*'Inputs'!$B$16</x:f>
        <x:v>0</x:v>
      </x:c>
    </x:row>
    <x:row r="21">
      <x:c r="B21" s="68" t="str">
        <x:v>Total revenue</x:v>
      </x:c>
      <x:c r="C21" s="69" t="n">
        <x:f>C19+C20</x:f>
        <x:v>6480</x:v>
      </x:c>
      <x:c r="D21" s="69" t="n">
        <x:f>D19+D20</x:f>
        <x:v>35043.840000000004</x:v>
      </x:c>
      <x:c r="E21" s="69" t="n">
        <x:f>E19+E20</x:f>
        <x:v>93826.60272000001</x:v>
      </x:c>
      <x:c r="F21" s="69" t="n">
        <x:f>F19+F20</x:f>
        <x:v>180899.30272175997</x:v>
      </x:c>
      <x:c r="G21" s="69" t="n">
        <x:f>G19+G20</x:f>
        <x:v>294427.8275598101</x:v>
      </x:c>
      <x:c r="H21" s="69" t="n">
        <x:f>H19+H20</x:f>
        <x:v>432668.66214806243</x:v>
      </x:c>
      <x:c r="I21" s="69" t="n">
        <x:f>I19+I20</x:f>
        <x:v>593964.798813347</x:v>
      </x:c>
      <x:c r="J21" s="69" t="n">
        <x:f>J19+J20</x:f>
        <x:v>776741.8251087042</x:v>
      </x:c>
      <x:c r="K21" s="69" t="n">
        <x:f>K19+K20</x:f>
        <x:v>979504.1817949003</x:v>
      </x:c>
      <x:c r="L21" s="69" t="n">
        <x:f>L19+L20</x:f>
        <x:v>1200831.5837201204</x:v>
      </x:c>
      <x:c r="M21" s="69" t="n">
        <x:f>M19+M20</x:f>
        <x:v>1439375.5966357088</x:v>
      </x:c>
      <x:c r="N21" s="69" t="n">
        <x:f>N19+N20</x:f>
        <x:v>1693856.3632807736</x:v>
      </x:c>
    </x:row>
    <x:row r="22">
      <x:c r="B22" t="str">
        <x:v>Paid variable cost</x:v>
      </x:c>
      <x:c r="C22" s="63" t="n">
        <x:f>C17*'Inputs'!$B$12*'Scenarios'!$G$5</x:f>
        <x:v>900</x:v>
      </x:c>
      <x:c r="D22" s="63" t="n">
        <x:f>D17*'Inputs'!$B$12*'Scenarios'!$G$5</x:f>
        <x:v>4867.2</x:v>
      </x:c>
      <x:c r="E22" s="63" t="n">
        <x:f>E17*'Inputs'!$B$12*'Scenarios'!$G$5</x:f>
        <x:v>13031.472600000001</x:v>
      </x:c>
      <x:c r="F22" s="63" t="n">
        <x:f>F17*'Inputs'!$B$12*'Scenarios'!$G$5</x:f>
        <x:v>25124.903155799995</x:v>
      </x:c>
      <x:c r="G22" s="63" t="n">
        <x:f>G17*'Inputs'!$B$12*'Scenarios'!$G$5</x:f>
        <x:v>40892.753827751396</x:v>
      </x:c>
      <x:c r="H22" s="63" t="n">
        <x:f>H17*'Inputs'!$B$12*'Scenarios'!$G$5</x:f>
        <x:v>60092.86974278644</x:v>
      </x:c>
      <x:c r="I22" s="63" t="n">
        <x:f>I17*'Inputs'!$B$12*'Scenarios'!$G$5</x:f>
        <x:v>82495.1109462982</x:v>
      </x:c>
      <x:c r="J22" s="63" t="n">
        <x:f>J17*'Inputs'!$B$12*'Scenarios'!$G$5</x:f>
        <x:v>107880.80904287558</x:v>
      </x:c>
      <x:c r="K22" s="63" t="n">
        <x:f>K17*'Inputs'!$B$12*'Scenarios'!$G$5</x:f>
        <x:v>136042.24747151393</x:v>
      </x:c>
      <x:c r="L22" s="63" t="n">
        <x:f>L17*'Inputs'!$B$12*'Scenarios'!$G$5</x:f>
        <x:v>166782.16440557226</x:v>
      </x:c>
      <x:c r="M22" s="63" t="n">
        <x:f>M17*'Inputs'!$B$12*'Scenarios'!$G$5</x:f>
        <x:v>199913.27731051508</x:v>
      </x:c>
      <x:c r="N22" s="63" t="n">
        <x:f>N17*'Inputs'!$B$12*'Scenarios'!$G$5</x:f>
        <x:v>235257.82823344078</x:v>
      </x:c>
    </x:row>
    <x:row r="23">
      <x:c r="B23" t="str">
        <x:v>Free variable cost</x:v>
      </x:c>
      <x:c r="C23" s="63" t="n">
        <x:f>C16*'Inputs'!$B$13*'Scenarios'!$G$5</x:f>
        <x:v>2100</x:v>
      </x:c>
      <x:c r="D23" s="63" t="n">
        <x:f>D16*'Inputs'!$B$13*'Scenarios'!$G$5</x:f>
        <x:v>6255.9</x:v>
      </x:c>
      <x:c r="E23" s="63" t="n">
        <x:f>E16*'Inputs'!$B$13*'Scenarios'!$G$5</x:f>
        <x:v>10324.5261</x:v>
      </x:c>
      <x:c r="F23" s="63" t="n">
        <x:f>F16*'Inputs'!$B$13*'Scenarios'!$G$5</x:f>
        <x:v>14307.711051899998</x:v>
      </x:c>
      <x:c r="G23" s="63" t="n">
        <x:f>G16*'Inputs'!$B$13*'Scenarios'!$G$5</x:f>
        <x:v>18207.249119810098</x:v>
      </x:c>
      <x:c r="H23" s="63" t="n">
        <x:f>H16*'Inputs'!$B$13*'Scenarios'!$G$5</x:f>
        <x:v>22024.896888294086</x:v>
      </x:c>
      <x:c r="I23" s="63" t="n">
        <x:f>I16*'Inputs'!$B$13*'Scenarios'!$G$5</x:f>
        <x:v>25762.37405363991</x:v>
      </x:c>
      <x:c r="J23" s="63" t="n">
        <x:f>J16*'Inputs'!$B$13*'Scenarios'!$G$5</x:f>
        <x:v>29421.36419851347</x:v>
      </x:c>
      <x:c r="K23" s="63" t="n">
        <x:f>K16*'Inputs'!$B$13*'Scenarios'!$G$5</x:f>
        <x:v>33003.515550344695</x:v>
      </x:c>
      <x:c r="L23" s="63" t="n">
        <x:f>L16*'Inputs'!$B$13*'Scenarios'!$G$5</x:f>
        <x:v>36510.44172378745</x:v>
      </x:c>
      <x:c r="M23" s="63" t="n">
        <x:f>M16*'Inputs'!$B$13*'Scenarios'!$G$5</x:f>
        <x:v>39943.72244758791</x:v>
      </x:c>
      <x:c r="N23" s="63" t="n">
        <x:f>N16*'Inputs'!$B$13*'Scenarios'!$G$5</x:f>
        <x:v>43304.90427618857</x:v>
      </x:c>
    </x:row>
    <x:row r="24">
      <x:c r="B24" t="str">
        <x:v>Fixed cost</x:v>
      </x:c>
      <x:c r="C24" s="63" t="n">
        <x:f>'Inputs'!$B$14*'Scenarios'!$H$5</x:f>
        <x:v>1650000.0000000002</x:v>
      </x:c>
      <x:c r="D24" s="63" t="n">
        <x:f>'Inputs'!$B$14*'Scenarios'!$H$5</x:f>
        <x:v>1650000.0000000002</x:v>
      </x:c>
      <x:c r="E24" s="63" t="n">
        <x:f>'Inputs'!$B$14*'Scenarios'!$H$5</x:f>
        <x:v>1650000.0000000002</x:v>
      </x:c>
      <x:c r="F24" s="63" t="n">
        <x:f>'Inputs'!$B$14*'Scenarios'!$H$5</x:f>
        <x:v>1650000.0000000002</x:v>
      </x:c>
      <x:c r="G24" s="63" t="n">
        <x:f>'Inputs'!$B$14*'Scenarios'!$H$5</x:f>
        <x:v>1650000.0000000002</x:v>
      </x:c>
      <x:c r="H24" s="63" t="n">
        <x:f>'Inputs'!$B$14*'Scenarios'!$H$5</x:f>
        <x:v>1650000.0000000002</x:v>
      </x:c>
      <x:c r="I24" s="63" t="n">
        <x:f>'Inputs'!$B$14*'Scenarios'!$H$5</x:f>
        <x:v>1650000.0000000002</x:v>
      </x:c>
      <x:c r="J24" s="63" t="n">
        <x:f>'Inputs'!$B$14*'Scenarios'!$H$5</x:f>
        <x:v>1650000.0000000002</x:v>
      </x:c>
      <x:c r="K24" s="63" t="n">
        <x:f>'Inputs'!$B$14*'Scenarios'!$H$5</x:f>
        <x:v>1650000.0000000002</x:v>
      </x:c>
      <x:c r="L24" s="63" t="n">
        <x:f>'Inputs'!$B$14*'Scenarios'!$H$5</x:f>
        <x:v>1650000.0000000002</x:v>
      </x:c>
      <x:c r="M24" s="63" t="n">
        <x:f>'Inputs'!$B$14*'Scenarios'!$H$5</x:f>
        <x:v>1650000.0000000002</x:v>
      </x:c>
      <x:c r="N24" s="63" t="n">
        <x:f>'Inputs'!$B$14*'Scenarios'!$H$5</x:f>
        <x:v>1650000.0000000002</x:v>
      </x:c>
    </x:row>
    <x:row r="25">
      <x:c r="B25" t="str">
        <x:v>Acquisition spend</x:v>
      </x:c>
      <x:c r="C25" s="63" t="n">
        <x:f>'Inputs'!$B$15*'Scenarios'!$I$5</x:f>
        <x:v>200000</x:v>
      </x:c>
      <x:c r="D25" s="63" t="n">
        <x:f>'Inputs'!$B$15*'Scenarios'!$I$5</x:f>
        <x:v>200000</x:v>
      </x:c>
      <x:c r="E25" s="63" t="n">
        <x:f>'Inputs'!$B$15*'Scenarios'!$I$5</x:f>
        <x:v>200000</x:v>
      </x:c>
      <x:c r="F25" s="63" t="n">
        <x:f>'Inputs'!$B$15*'Scenarios'!$I$5</x:f>
        <x:v>200000</x:v>
      </x:c>
      <x:c r="G25" s="63" t="n">
        <x:f>'Inputs'!$B$15*'Scenarios'!$I$5</x:f>
        <x:v>200000</x:v>
      </x:c>
      <x:c r="H25" s="63" t="n">
        <x:f>'Inputs'!$B$15*'Scenarios'!$I$5</x:f>
        <x:v>200000</x:v>
      </x:c>
      <x:c r="I25" s="63" t="n">
        <x:f>'Inputs'!$B$15*'Scenarios'!$I$5</x:f>
        <x:v>200000</x:v>
      </x:c>
      <x:c r="J25" s="63" t="n">
        <x:f>'Inputs'!$B$15*'Scenarios'!$I$5</x:f>
        <x:v>200000</x:v>
      </x:c>
      <x:c r="K25" s="63" t="n">
        <x:f>'Inputs'!$B$15*'Scenarios'!$I$5</x:f>
        <x:v>200000</x:v>
      </x:c>
      <x:c r="L25" s="63" t="n">
        <x:f>'Inputs'!$B$15*'Scenarios'!$I$5</x:f>
        <x:v>200000</x:v>
      </x:c>
      <x:c r="M25" s="63" t="n">
        <x:f>'Inputs'!$B$15*'Scenarios'!$I$5</x:f>
        <x:v>200000</x:v>
      </x:c>
      <x:c r="N25" s="63" t="n">
        <x:f>'Inputs'!$B$15*'Scenarios'!$I$5</x:f>
        <x:v>200000</x:v>
      </x:c>
    </x:row>
    <x:row r="26">
      <x:c r="B26" t="str">
        <x:v>Total cost</x:v>
      </x:c>
      <x:c r="C26" s="63" t="n">
        <x:f>SUM(C22:C25)</x:f>
        <x:v>1853000.0000000002</x:v>
      </x:c>
      <x:c r="D26" s="63" t="n">
        <x:f>SUM(D22:D25)</x:f>
        <x:v>1861123.1000000003</x:v>
      </x:c>
      <x:c r="E26" s="63" t="n">
        <x:f>SUM(E22:E25)</x:f>
        <x:v>1873355.9987000003</x:v>
      </x:c>
      <x:c r="F26" s="63" t="n">
        <x:f>SUM(F22:F25)</x:f>
        <x:v>1889432.6142077001</x:v>
      </x:c>
      <x:c r="G26" s="63" t="n">
        <x:f>SUM(G22:G25)</x:f>
        <x:v>1909100.0029475617</x:v>
      </x:c>
      <x:c r="H26" s="63" t="n">
        <x:f>SUM(H22:H25)</x:f>
        <x:v>1932117.7666310808</x:v>
      </x:c>
      <x:c r="I26" s="63" t="n">
        <x:f>SUM(I22:I25)</x:f>
        <x:v>1958257.4849999384</x:v>
      </x:c>
      <x:c r="J26" s="63" t="n">
        <x:f>SUM(J22:J25)</x:f>
        <x:v>1987302.1732413892</x:v>
      </x:c>
      <x:c r="K26" s="63" t="n">
        <x:f>SUM(K22:K25)</x:f>
        <x:v>2019045.7630218589</x:v>
      </x:c>
      <x:c r="L26" s="63" t="n">
        <x:f>SUM(L22:L25)</x:f>
        <x:v>2053292.60612936</x:v>
      </x:c>
      <x:c r="M26" s="63" t="n">
        <x:f>SUM(M22:M25)</x:f>
        <x:v>2089856.9997581032</x:v>
      </x:c>
      <x:c r="N26" s="63" t="n">
        <x:f>SUM(N22:N25)</x:f>
        <x:v>2128562.73250963</x:v>
      </x:c>
    </x:row>
    <x:row r="27">
      <x:c r="B27" s="74" t="str">
        <x:v>Operating profit</x:v>
      </x:c>
      <x:c r="C27" s="75" t="n">
        <x:f>C21-C26</x:f>
        <x:v>-1846520.0000000002</x:v>
      </x:c>
      <x:c r="D27" s="75" t="n">
        <x:f>D21-D26</x:f>
        <x:v>-1826079.2600000002</x:v>
      </x:c>
      <x:c r="E27" s="75" t="n">
        <x:f>E21-E26</x:f>
        <x:v>-1779529.3959800003</x:v>
      </x:c>
      <x:c r="F27" s="75" t="n">
        <x:f>F21-F26</x:f>
        <x:v>-1708533.3114859401</x:v>
      </x:c>
      <x:c r="G27" s="75" t="n">
        <x:f>G21-G26</x:f>
        <x:v>-1614672.1753877515</x:v>
      </x:c>
      <x:c r="H27" s="75" t="n">
        <x:f>H21-H26</x:f>
        <x:v>-1499449.1044830184</x:v>
      </x:c>
      <x:c r="I27" s="75" t="n">
        <x:f>I21-I26</x:f>
        <x:v>-1364292.6861865914</x:v>
      </x:c>
      <x:c r="J27" s="75" t="n">
        <x:f>J21-J26</x:f>
        <x:v>-1210560.348132685</x:v>
      </x:c>
      <x:c r="K27" s="75" t="n">
        <x:f>K21-K26</x:f>
        <x:v>-1039541.5812269585</x:v>
      </x:c>
      <x:c r="L27" s="75" t="n">
        <x:f>L21-L26</x:f>
        <x:v>-852461.0224092396</x:v>
      </x:c>
      <x:c r="M27" s="75" t="n">
        <x:f>M21-M26</x:f>
        <x:v>-650481.4031223943</x:v>
      </x:c>
      <x:c r="N27" s="75" t="n">
        <x:f>N21-N26</x:f>
        <x:v>-434706.3692288562</x:v>
      </x:c>
    </x:row>
    <x:row r="28">
      <x:c r="B28" t="str">
        <x:v>Ending cash</x:v>
      </x:c>
      <x:c r="C28" s="63" t="n">
        <x:f>'Inputs'!$B$17+C27</x:f>
        <x:v>8153480</x:v>
      </x:c>
      <x:c r="D28" s="63" t="n">
        <x:f>C28+D27</x:f>
        <x:v>6327400.74</x:v>
      </x:c>
      <x:c r="E28" s="63" t="n">
        <x:f>D28+E27</x:f>
        <x:v>4547871.34402</x:v>
      </x:c>
      <x:c r="F28" s="63" t="n">
        <x:f>E28+F27</x:f>
        <x:v>2839338.0325340596</x:v>
      </x:c>
      <x:c r="G28" s="63" t="n">
        <x:f>F28+G27</x:f>
        <x:v>1224665.857146308</x:v>
      </x:c>
      <x:c r="H28" s="63" t="n">
        <x:f>G28+H27</x:f>
        <x:v>-274783.24733671034</x:v>
      </x:c>
      <x:c r="I28" s="63" t="n">
        <x:f>H28+I27</x:f>
        <x:v>-1639075.9335233017</x:v>
      </x:c>
      <x:c r="J28" s="63" t="n">
        <x:f>I28+J27</x:f>
        <x:v>-2849636.281655987</x:v>
      </x:c>
      <x:c r="K28" s="63" t="n">
        <x:f>J28+K27</x:f>
        <x:v>-3889177.862882945</x:v>
      </x:c>
      <x:c r="L28" s="63" t="n">
        <x:f>K28+L27</x:f>
        <x:v>-4741638.885292185</x:v>
      </x:c>
      <x:c r="M28" s="63" t="n">
        <x:f>L28+M27</x:f>
        <x:v>-5392120.288414579</x:v>
      </x:c>
      <x:c r="N28" s="63" t="n">
        <x:f>M28+N27</x:f>
        <x:v>-5826826.6576434355</x:v>
      </x:c>
    </x:row>
    <x:row r="31" ht="22" customHeight="1">
      <x:c r="A31" s="49" t="str">
        <x:v>BASE SCENARIO</x:v>
      </x:c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</x:row>
    <x:row r="32">
      <x:c r="B32" s="16" t="str">
        <x:v>Metric</x:v>
      </x:c>
      <x:c r="C32" s="17" t="str">
        <x:v>M1</x:v>
      </x:c>
      <x:c r="D32" s="17" t="str">
        <x:v>M2</x:v>
      </x:c>
      <x:c r="E32" s="17" t="str">
        <x:v>M3</x:v>
      </x:c>
      <x:c r="F32" s="17" t="str">
        <x:v>M4</x:v>
      </x:c>
      <x:c r="G32" s="17" t="str">
        <x:v>M5</x:v>
      </x:c>
      <x:c r="H32" s="17" t="str">
        <x:v>M6</x:v>
      </x:c>
      <x:c r="I32" s="17" t="str">
        <x:v>M7</x:v>
      </x:c>
      <x:c r="J32" s="17" t="str">
        <x:v>M8</x:v>
      </x:c>
      <x:c r="K32" s="17" t="str">
        <x:v>M9</x:v>
      </x:c>
      <x:c r="L32" s="17" t="str">
        <x:v>M10</x:v>
      </x:c>
      <x:c r="M32" s="17" t="str">
        <x:v>M11</x:v>
      </x:c>
      <x:c r="N32" s="18" t="str">
        <x:v>M12</x:v>
      </x:c>
    </x:row>
    <x:row r="33">
      <x:c r="B33" t="str">
        <x:v>Opening free users</x:v>
      </x:c>
      <x:c r="C33" s="62" t="n">
        <x:f>'Inputs'!$B$5</x:f>
        <x:v>0</x:v>
      </x:c>
      <x:c r="D33" s="62" t="n">
        <x:f>C36</x:f>
        <x:v>100</x:v>
      </x:c>
      <x:c r="E33" s="62" t="n">
        <x:f>D36</x:f>
        <x:v>197</x:v>
      </x:c>
      <x:c r="F33" s="62" t="n">
        <x:f>E36</x:f>
        <x:v>291.09</x:v>
      </x:c>
      <x:c r="G33" s="62" t="n">
        <x:f>F36</x:f>
        <x:v>382.35729999999995</x:v>
      </x:c>
      <x:c r="H33" s="62" t="n">
        <x:f>G36</x:f>
        <x:v>470.886581</x:v>
      </x:c>
      <x:c r="I33" s="62" t="n">
        <x:f>H36</x:f>
        <x:v>556.75998357</x:v>
      </x:c>
      <x:c r="J33" s="62" t="n">
        <x:f>I36</x:f>
        <x:v>640.0571840629</x:v>
      </x:c>
      <x:c r="K33" s="62" t="n">
        <x:f>J36</x:f>
        <x:v>720.855468541013</x:v>
      </x:c>
      <x:c r="L33" s="62" t="n">
        <x:f>K36</x:f>
        <x:v>799.2298044847827</x:v>
      </x:c>
      <x:c r="M33" s="62" t="n">
        <x:f>L36</x:f>
        <x:v>875.2529103502392</x:v>
      </x:c>
      <x:c r="N33" s="62" t="n">
        <x:f>M36</x:f>
        <x:v>948.995323039732</x:v>
      </x:c>
    </x:row>
    <x:row r="34">
      <x:c r="B34" t="str">
        <x:v>New free users</x:v>
      </x:c>
      <x:c r="C34" s="62" t="n">
        <x:f>'Inputs'!$B$7*'Scenarios'!$B$6</x:f>
        <x:v>100</x:v>
      </x:c>
      <x:c r="D34" s="62" t="n">
        <x:f>'Inputs'!$B$7*'Scenarios'!$B$6</x:f>
        <x:v>100</x:v>
      </x:c>
      <x:c r="E34" s="62" t="n">
        <x:f>'Inputs'!$B$7*'Scenarios'!$B$6</x:f>
        <x:v>100</x:v>
      </x:c>
      <x:c r="F34" s="62" t="n">
        <x:f>'Inputs'!$B$7*'Scenarios'!$B$6</x:f>
        <x:v>100</x:v>
      </x:c>
      <x:c r="G34" s="62" t="n">
        <x:f>'Inputs'!$B$7*'Scenarios'!$B$6</x:f>
        <x:v>100</x:v>
      </x:c>
      <x:c r="H34" s="62" t="n">
        <x:f>'Inputs'!$B$7*'Scenarios'!$B$6</x:f>
        <x:v>100</x:v>
      </x:c>
      <x:c r="I34" s="62" t="n">
        <x:f>'Inputs'!$B$7*'Scenarios'!$B$6</x:f>
        <x:v>100</x:v>
      </x:c>
      <x:c r="J34" s="62" t="n">
        <x:f>'Inputs'!$B$7*'Scenarios'!$B$6</x:f>
        <x:v>100</x:v>
      </x:c>
      <x:c r="K34" s="62" t="n">
        <x:f>'Inputs'!$B$7*'Scenarios'!$B$6</x:f>
        <x:v>100</x:v>
      </x:c>
      <x:c r="L34" s="62" t="n">
        <x:f>'Inputs'!$B$7*'Scenarios'!$B$6</x:f>
        <x:v>100</x:v>
      </x:c>
      <x:c r="M34" s="62" t="n">
        <x:f>'Inputs'!$B$7*'Scenarios'!$B$6</x:f>
        <x:v>100</x:v>
      </x:c>
      <x:c r="N34" s="62" t="n">
        <x:f>'Inputs'!$B$7*'Scenarios'!$B$6</x:f>
        <x:v>100</x:v>
      </x:c>
    </x:row>
    <x:row r="35">
      <x:c r="B35" t="str">
        <x:v>Free users converted</x:v>
      </x:c>
      <x:c r="C35" s="62" t="n">
        <x:f>C33*'Inputs'!$B$8*'Scenarios'!$C$6</x:f>
        <x:v>0</x:v>
      </x:c>
      <x:c r="D35" s="62" t="n">
        <x:f>D33*'Inputs'!$B$8*'Scenarios'!$C$6</x:f>
        <x:v>3</x:v>
      </x:c>
      <x:c r="E35" s="62" t="n">
        <x:f>E33*'Inputs'!$B$8*'Scenarios'!$C$6</x:f>
        <x:v>5.91</x:v>
      </x:c>
      <x:c r="F35" s="62" t="n">
        <x:f>F33*'Inputs'!$B$8*'Scenarios'!$C$6</x:f>
        <x:v>8.7327</x:v>
      </x:c>
      <x:c r="G35" s="62" t="n">
        <x:f>G33*'Inputs'!$B$8*'Scenarios'!$C$6</x:f>
        <x:v>11.470718999999999</x:v>
      </x:c>
      <x:c r="H35" s="62" t="n">
        <x:f>H33*'Inputs'!$B$8*'Scenarios'!$C$6</x:f>
        <x:v>14.126597429999999</x:v>
      </x:c>
      <x:c r="I35" s="62" t="n">
        <x:f>I33*'Inputs'!$B$8*'Scenarios'!$C$6</x:f>
        <x:v>16.7027995071</x:v>
      </x:c>
      <x:c r="J35" s="62" t="n">
        <x:f>J33*'Inputs'!$B$8*'Scenarios'!$C$6</x:f>
        <x:v>19.201715521887</x:v>
      </x:c>
      <x:c r="K35" s="62" t="n">
        <x:f>K33*'Inputs'!$B$8*'Scenarios'!$C$6</x:f>
        <x:v>21.625664056230388</x:v>
      </x:c>
      <x:c r="L35" s="62" t="n">
        <x:f>L33*'Inputs'!$B$8*'Scenarios'!$C$6</x:f>
        <x:v>23.97689413454348</x:v>
      </x:c>
      <x:c r="M35" s="62" t="n">
        <x:f>M33*'Inputs'!$B$8*'Scenarios'!$C$6</x:f>
        <x:v>26.257587310507173</x:v>
      </x:c>
      <x:c r="N35" s="62" t="n">
        <x:f>N33*'Inputs'!$B$8*'Scenarios'!$C$6</x:f>
        <x:v>28.46985969119196</x:v>
      </x:c>
    </x:row>
    <x:row r="36">
      <x:c r="B36" t="str">
        <x:v>Ending free users</x:v>
      </x:c>
      <x:c r="C36" s="62" t="n">
        <x:f>MAX(0,C33+C34-C35)</x:f>
        <x:v>100</x:v>
      </x:c>
      <x:c r="D36" s="62" t="n">
        <x:f>MAX(0,D33+D34-D35)</x:f>
        <x:v>197</x:v>
      </x:c>
      <x:c r="E36" s="62" t="n">
        <x:f>MAX(0,E33+E34-E35)</x:f>
        <x:v>291.09</x:v>
      </x:c>
      <x:c r="F36" s="62" t="n">
        <x:f>MAX(0,F33+F34-F35)</x:f>
        <x:v>382.35729999999995</x:v>
      </x:c>
      <x:c r="G36" s="62" t="n">
        <x:f>MAX(0,G33+G34-G35)</x:f>
        <x:v>470.886581</x:v>
      </x:c>
      <x:c r="H36" s="62" t="n">
        <x:f>MAX(0,H33+H34-H35)</x:f>
        <x:v>556.75998357</x:v>
      </x:c>
      <x:c r="I36" s="62" t="n">
        <x:f>MAX(0,I33+I34-I35)</x:f>
        <x:v>640.0571840629</x:v>
      </x:c>
      <x:c r="J36" s="62" t="n">
        <x:f>MAX(0,J33+J34-J35)</x:f>
        <x:v>720.855468541013</x:v>
      </x:c>
      <x:c r="K36" s="62" t="n">
        <x:f>MAX(0,K33+K34-K35)</x:f>
        <x:v>799.2298044847827</x:v>
      </x:c>
      <x:c r="L36" s="62" t="n">
        <x:f>MAX(0,L33+L34-L35)</x:f>
        <x:v>875.2529103502392</x:v>
      </x:c>
      <x:c r="M36" s="62" t="n">
        <x:f>MAX(0,M33+M34-M35)</x:f>
        <x:v>948.995323039732</x:v>
      </x:c>
      <x:c r="N36" s="62" t="n">
        <x:f>MAX(0,N33+N34-N35)</x:f>
        <x:v>1020.5254633485401</x:v>
      </x:c>
    </x:row>
    <x:row r="37">
      <x:c r="B37" t="str">
        <x:v>Opening paid customers</x:v>
      </x:c>
      <x:c r="C37" s="62" t="n">
        <x:f>'Inputs'!$B$6</x:f>
        <x:v>0</x:v>
      </x:c>
      <x:c r="D37" s="62" t="n">
        <x:f>C41</x:f>
        <x:v>1</x:v>
      </x:c>
      <x:c r="E37" s="62" t="n">
        <x:f>D41</x:f>
        <x:v>4.97</x:v>
      </x:c>
      <x:c r="F37" s="62" t="n">
        <x:f>E41</x:f>
        <x:v>11.730899999999998</x:v>
      </x:c>
      <x:c r="G37" s="62" t="n">
        <x:f>F41</x:f>
        <x:v>21.111673</x:v>
      </x:c>
      <x:c r="H37" s="62" t="n">
        <x:f>G41</x:f>
        <x:v>32.94904181</x:v>
      </x:c>
      <x:c r="I37" s="62" t="n">
        <x:f>H41</x:f>
        <x:v>47.08716798569999</x:v>
      </x:c>
      <x:c r="J37" s="62" t="n">
        <x:f>I41</x:f>
        <x:v>63.37735245322899</x:v>
      </x:c>
      <x:c r="K37" s="62" t="n">
        <x:f>J41</x:f>
        <x:v>81.67774740151913</x:v>
      </x:c>
      <x:c r="L37" s="62" t="n">
        <x:f>K41</x:f>
        <x:v>101.85307903570394</x:v>
      </x:c>
      <x:c r="M37" s="62" t="n">
        <x:f>L41</x:f>
        <x:v>123.77438079917631</x:v>
      </x:c>
      <x:c r="N37" s="62" t="n">
        <x:f>M41</x:f>
        <x:v>147.3187366857082</x:v>
      </x:c>
    </x:row>
    <x:row r="38">
      <x:c r="B38" t="str">
        <x:v>Direct new paid</x:v>
      </x:c>
      <x:c r="C38" s="62" t="n">
        <x:f>'Inputs'!$B$9*'Scenarios'!$D$6</x:f>
        <x:v>1</x:v>
      </x:c>
      <x:c r="D38" s="62" t="n">
        <x:f>'Inputs'!$B$9*'Scenarios'!$D$6</x:f>
        <x:v>1</x:v>
      </x:c>
      <x:c r="E38" s="62" t="n">
        <x:f>'Inputs'!$B$9*'Scenarios'!$D$6</x:f>
        <x:v>1</x:v>
      </x:c>
      <x:c r="F38" s="62" t="n">
        <x:f>'Inputs'!$B$9*'Scenarios'!$D$6</x:f>
        <x:v>1</x:v>
      </x:c>
      <x:c r="G38" s="62" t="n">
        <x:f>'Inputs'!$B$9*'Scenarios'!$D$6</x:f>
        <x:v>1</x:v>
      </x:c>
      <x:c r="H38" s="62" t="n">
        <x:f>'Inputs'!$B$9*'Scenarios'!$D$6</x:f>
        <x:v>1</x:v>
      </x:c>
      <x:c r="I38" s="62" t="n">
        <x:f>'Inputs'!$B$9*'Scenarios'!$D$6</x:f>
        <x:v>1</x:v>
      </x:c>
      <x:c r="J38" s="62" t="n">
        <x:f>'Inputs'!$B$9*'Scenarios'!$D$6</x:f>
        <x:v>1</x:v>
      </x:c>
      <x:c r="K38" s="62" t="n">
        <x:f>'Inputs'!$B$9*'Scenarios'!$D$6</x:f>
        <x:v>1</x:v>
      </x:c>
      <x:c r="L38" s="62" t="n">
        <x:f>'Inputs'!$B$9*'Scenarios'!$D$6</x:f>
        <x:v>1</x:v>
      </x:c>
      <x:c r="M38" s="62" t="n">
        <x:f>'Inputs'!$B$9*'Scenarios'!$D$6</x:f>
        <x:v>1</x:v>
      </x:c>
      <x:c r="N38" s="62" t="n">
        <x:f>'Inputs'!$B$9*'Scenarios'!$D$6</x:f>
        <x:v>1</x:v>
      </x:c>
    </x:row>
    <x:row r="39">
      <x:c r="B39" t="str">
        <x:v>Total new paid</x:v>
      </x:c>
      <x:c r="C39" s="62" t="n">
        <x:f>C35+C38</x:f>
        <x:v>1</x:v>
      </x:c>
      <x:c r="D39" s="62" t="n">
        <x:f>D35+D38</x:f>
        <x:v>4</x:v>
      </x:c>
      <x:c r="E39" s="62" t="n">
        <x:f>E35+E38</x:f>
        <x:v>6.91</x:v>
      </x:c>
      <x:c r="F39" s="62" t="n">
        <x:f>F35+F38</x:f>
        <x:v>9.7327</x:v>
      </x:c>
      <x:c r="G39" s="62" t="n">
        <x:f>G35+G38</x:f>
        <x:v>12.470718999999999</x:v>
      </x:c>
      <x:c r="H39" s="62" t="n">
        <x:f>H35+H38</x:f>
        <x:v>15.126597429999999</x:v>
      </x:c>
      <x:c r="I39" s="62" t="n">
        <x:f>I35+I38</x:f>
        <x:v>17.7027995071</x:v>
      </x:c>
      <x:c r="J39" s="62" t="n">
        <x:f>J35+J38</x:f>
        <x:v>20.201715521887</x:v>
      </x:c>
      <x:c r="K39" s="62" t="n">
        <x:f>K35+K38</x:f>
        <x:v>22.625664056230388</x:v>
      </x:c>
      <x:c r="L39" s="62" t="n">
        <x:f>L35+L38</x:f>
        <x:v>24.97689413454348</x:v>
      </x:c>
      <x:c r="M39" s="62" t="n">
        <x:f>M35+M38</x:f>
        <x:v>27.257587310507173</x:v>
      </x:c>
      <x:c r="N39" s="62" t="n">
        <x:f>N35+N38</x:f>
        <x:v>29.46985969119196</x:v>
      </x:c>
    </x:row>
    <x:row r="40">
      <x:c r="B40" t="str">
        <x:v>Paid customers churned</x:v>
      </x:c>
      <x:c r="C40" s="62" t="n">
        <x:f>C37*'Inputs'!$B$10*'Scenarios'!$E$6</x:f>
        <x:v>0</x:v>
      </x:c>
      <x:c r="D40" s="62" t="n">
        <x:f>D37*'Inputs'!$B$10*'Scenarios'!$E$6</x:f>
        <x:v>0.03</x:v>
      </x:c>
      <x:c r="E40" s="62" t="n">
        <x:f>E37*'Inputs'!$B$10*'Scenarios'!$E$6</x:f>
        <x:v>0.14909999999999998</x:v>
      </x:c>
      <x:c r="F40" s="62" t="n">
        <x:f>F37*'Inputs'!$B$10*'Scenarios'!$E$6</x:f>
        <x:v>0.35192699999999993</x:v>
      </x:c>
      <x:c r="G40" s="62" t="n">
        <x:f>G37*'Inputs'!$B$10*'Scenarios'!$E$6</x:f>
        <x:v>0.6333501899999999</x:v>
      </x:c>
      <x:c r="H40" s="62" t="n">
        <x:f>H37*'Inputs'!$B$10*'Scenarios'!$E$6</x:f>
        <x:v>0.9884712542999998</x:v>
      </x:c>
      <x:c r="I40" s="62" t="n">
        <x:f>I37*'Inputs'!$B$10*'Scenarios'!$E$6</x:f>
        <x:v>1.4126150395709998</x:v>
      </x:c>
      <x:c r="J40" s="62" t="n">
        <x:f>J37*'Inputs'!$B$10*'Scenarios'!$E$6</x:f>
        <x:v>1.9013205735968695</x:v>
      </x:c>
      <x:c r="K40" s="62" t="n">
        <x:f>K37*'Inputs'!$B$10*'Scenarios'!$E$6</x:f>
        <x:v>2.4503324220455736</x:v>
      </x:c>
      <x:c r="L40" s="62" t="n">
        <x:f>L37*'Inputs'!$B$10*'Scenarios'!$E$6</x:f>
        <x:v>3.055592371071118</x:v>
      </x:c>
      <x:c r="M40" s="62" t="n">
        <x:f>M37*'Inputs'!$B$10*'Scenarios'!$E$6</x:f>
        <x:v>3.713231423975289</x:v>
      </x:c>
      <x:c r="N40" s="62" t="n">
        <x:f>N37*'Inputs'!$B$10*'Scenarios'!$E$6</x:f>
        <x:v>4.4195621005712455</x:v>
      </x:c>
    </x:row>
    <x:row r="41">
      <x:c r="B41" t="str">
        <x:v>Ending paid customers</x:v>
      </x:c>
      <x:c r="C41" s="62" t="n">
        <x:f>MAX(0,C37+C39-C40)</x:f>
        <x:v>1</x:v>
      </x:c>
      <x:c r="D41" s="62" t="n">
        <x:f>MAX(0,D37+D39-D40)</x:f>
        <x:v>4.97</x:v>
      </x:c>
      <x:c r="E41" s="62" t="n">
        <x:f>MAX(0,E37+E39-E40)</x:f>
        <x:v>11.730899999999998</x:v>
      </x:c>
      <x:c r="F41" s="62" t="n">
        <x:f>MAX(0,F37+F39-F40)</x:f>
        <x:v>21.111673</x:v>
      </x:c>
      <x:c r="G41" s="62" t="n">
        <x:f>MAX(0,G37+G39-G40)</x:f>
        <x:v>32.94904181</x:v>
      </x:c>
      <x:c r="H41" s="62" t="n">
        <x:f>MAX(0,H37+H39-H40)</x:f>
        <x:v>47.08716798569999</x:v>
      </x:c>
      <x:c r="I41" s="62" t="n">
        <x:f>MAX(0,I37+I39-I40)</x:f>
        <x:v>63.37735245322899</x:v>
      </x:c>
      <x:c r="J41" s="62" t="n">
        <x:f>MAX(0,J37+J39-J40)</x:f>
        <x:v>81.67774740151913</x:v>
      </x:c>
      <x:c r="K41" s="62" t="n">
        <x:f>MAX(0,K37+K39-K40)</x:f>
        <x:v>101.85307903570394</x:v>
      </x:c>
      <x:c r="L41" s="62" t="n">
        <x:f>MAX(0,L37+L39-L40)</x:f>
        <x:v>123.77438079917631</x:v>
      </x:c>
      <x:c r="M41" s="62" t="n">
        <x:f>MAX(0,M37+M39-M40)</x:f>
        <x:v>147.3187366857082</x:v>
      </x:c>
      <x:c r="N41" s="62" t="n">
        <x:f>MAX(0,N37+N39-N40)</x:f>
        <x:v>172.3690342763289</x:v>
      </x:c>
    </x:row>
    <x:row r="42">
      <x:c r="B42" t="str">
        <x:v>Average free users</x:v>
      </x:c>
      <x:c r="C42" s="62" t="n">
        <x:f>(C33+C36)/2</x:f>
        <x:v>50</x:v>
      </x:c>
      <x:c r="D42" s="62" t="n">
        <x:f>(D33+D36)/2</x:f>
        <x:v>148.5</x:v>
      </x:c>
      <x:c r="E42" s="62" t="n">
        <x:f>(E33+E36)/2</x:f>
        <x:v>244.045</x:v>
      </x:c>
      <x:c r="F42" s="62" t="n">
        <x:f>(F33+F36)/2</x:f>
        <x:v>336.72364999999996</x:v>
      </x:c>
      <x:c r="G42" s="62" t="n">
        <x:f>(G33+G36)/2</x:f>
        <x:v>426.62194049999994</x:v>
      </x:c>
      <x:c r="H42" s="62" t="n">
        <x:f>(H33+H36)/2</x:f>
        <x:v>513.823282285</x:v>
      </x:c>
      <x:c r="I42" s="62" t="n">
        <x:f>(I33+I36)/2</x:f>
        <x:v>598.40858381645</x:v>
      </x:c>
      <x:c r="J42" s="62" t="n">
        <x:f>(J33+J36)/2</x:f>
        <x:v>680.4563263019566</x:v>
      </x:c>
      <x:c r="K42" s="62" t="n">
        <x:f>(K33+K36)/2</x:f>
        <x:v>760.0426365128978</x:v>
      </x:c>
      <x:c r="L42" s="62" t="n">
        <x:f>(L33+L36)/2</x:f>
        <x:v>837.2413574175109</x:v>
      </x:c>
      <x:c r="M42" s="62" t="n">
        <x:f>(M33+M36)/2</x:f>
        <x:v>912.1241166949856</x:v>
      </x:c>
      <x:c r="N42" s="62" t="n">
        <x:f>(N33+N36)/2</x:f>
        <x:v>984.7603931941361</x:v>
      </x:c>
    </x:row>
    <x:row r="43">
      <x:c r="B43" t="str">
        <x:v>Average paid customers</x:v>
      </x:c>
      <x:c r="C43" s="62" t="n">
        <x:f>(C37+C41)/2</x:f>
        <x:v>0.5</x:v>
      </x:c>
      <x:c r="D43" s="62" t="n">
        <x:f>(D37+D41)/2</x:f>
        <x:v>2.985</x:v>
      </x:c>
      <x:c r="E43" s="62" t="n">
        <x:f>(E37+E41)/2</x:f>
        <x:v>8.350449999999999</x:v>
      </x:c>
      <x:c r="F43" s="62" t="n">
        <x:f>(F37+F41)/2</x:f>
        <x:v>16.4212865</x:v>
      </x:c>
      <x:c r="G43" s="62" t="n">
        <x:f>(G37+G41)/2</x:f>
        <x:v>27.030357404999997</x:v>
      </x:c>
      <x:c r="H43" s="62" t="n">
        <x:f>(H37+H41)/2</x:f>
        <x:v>40.018104897849994</x:v>
      </x:c>
      <x:c r="I43" s="62" t="n">
        <x:f>(I37+I41)/2</x:f>
        <x:v>55.23226021946449</x:v>
      </x:c>
      <x:c r="J43" s="62" t="n">
        <x:f>(J37+J41)/2</x:f>
        <x:v>72.52754992737405</x:v>
      </x:c>
      <x:c r="K43" s="62" t="n">
        <x:f>(K37+K41)/2</x:f>
        <x:v>91.76541321861154</x:v>
      </x:c>
      <x:c r="L43" s="62" t="n">
        <x:f>(L37+L41)/2</x:f>
        <x:v>112.81372991744013</x:v>
      </x:c>
      <x:c r="M43" s="62" t="n">
        <x:f>(M37+M41)/2</x:f>
        <x:v>135.54655874244224</x:v>
      </x:c>
      <x:c r="N43" s="62" t="n">
        <x:f>(N37+N41)/2</x:f>
        <x:v>159.84388548101856</x:v>
      </x:c>
    </x:row>
    <x:row r="44">
      <x:c r="B44" t="str">
        <x:v>Effective monthly ARPU</x:v>
      </x:c>
      <x:c r="C44" s="63" t="n">
        <x:f>IF('Inputs'!$B$11&gt;0,'Inputs'!$B$11,'Pricing'!$B$20)*'Scenarios'!$F$6</x:f>
        <x:v>24000</x:v>
      </x:c>
      <x:c r="D44" s="63" t="n">
        <x:f>IF('Inputs'!$B$11&gt;0,'Inputs'!$B$11,'Pricing'!$B$20)*'Scenarios'!$F$6</x:f>
        <x:v>24000</x:v>
      </x:c>
      <x:c r="E44" s="63" t="n">
        <x:f>IF('Inputs'!$B$11&gt;0,'Inputs'!$B$11,'Pricing'!$B$20)*'Scenarios'!$F$6</x:f>
        <x:v>24000</x:v>
      </x:c>
      <x:c r="F44" s="63" t="n">
        <x:f>IF('Inputs'!$B$11&gt;0,'Inputs'!$B$11,'Pricing'!$B$20)*'Scenarios'!$F$6</x:f>
        <x:v>24000</x:v>
      </x:c>
      <x:c r="G44" s="63" t="n">
        <x:f>IF('Inputs'!$B$11&gt;0,'Inputs'!$B$11,'Pricing'!$B$20)*'Scenarios'!$F$6</x:f>
        <x:v>24000</x:v>
      </x:c>
      <x:c r="H44" s="63" t="n">
        <x:f>IF('Inputs'!$B$11&gt;0,'Inputs'!$B$11,'Pricing'!$B$20)*'Scenarios'!$F$6</x:f>
        <x:v>24000</x:v>
      </x:c>
      <x:c r="I44" s="63" t="n">
        <x:f>IF('Inputs'!$B$11&gt;0,'Inputs'!$B$11,'Pricing'!$B$20)*'Scenarios'!$F$6</x:f>
        <x:v>24000</x:v>
      </x:c>
      <x:c r="J44" s="63" t="n">
        <x:f>IF('Inputs'!$B$11&gt;0,'Inputs'!$B$11,'Pricing'!$B$20)*'Scenarios'!$F$6</x:f>
        <x:v>24000</x:v>
      </x:c>
      <x:c r="K44" s="63" t="n">
        <x:f>IF('Inputs'!$B$11&gt;0,'Inputs'!$B$11,'Pricing'!$B$20)*'Scenarios'!$F$6</x:f>
        <x:v>24000</x:v>
      </x:c>
      <x:c r="L44" s="63" t="n">
        <x:f>IF('Inputs'!$B$11&gt;0,'Inputs'!$B$11,'Pricing'!$B$20)*'Scenarios'!$F$6</x:f>
        <x:v>24000</x:v>
      </x:c>
      <x:c r="M44" s="63" t="n">
        <x:f>IF('Inputs'!$B$11&gt;0,'Inputs'!$B$11,'Pricing'!$B$20)*'Scenarios'!$F$6</x:f>
        <x:v>24000</x:v>
      </x:c>
      <x:c r="N44" s="63" t="n">
        <x:f>IF('Inputs'!$B$11&gt;0,'Inputs'!$B$11,'Pricing'!$B$20)*'Scenarios'!$F$6</x:f>
        <x:v>24000</x:v>
      </x:c>
    </x:row>
    <x:row r="45">
      <x:c r="B45" t="str">
        <x:v>Subscription revenue</x:v>
      </x:c>
      <x:c r="C45" s="63" t="n">
        <x:f>C43*C44</x:f>
        <x:v>12000</x:v>
      </x:c>
      <x:c r="D45" s="63" t="n">
        <x:f>D43*D44</x:f>
        <x:v>71640</x:v>
      </x:c>
      <x:c r="E45" s="63" t="n">
        <x:f>E43*E44</x:f>
        <x:v>200410.79999999996</x:v>
      </x:c>
      <x:c r="F45" s="63" t="n">
        <x:f>F43*F44</x:f>
        <x:v>394110.87600000005</x:v>
      </x:c>
      <x:c r="G45" s="63" t="n">
        <x:f>G43*G44</x:f>
        <x:v>648728.57772</x:v>
      </x:c>
      <x:c r="H45" s="63" t="n">
        <x:f>H43*H44</x:f>
        <x:v>960434.5175483999</x:v>
      </x:c>
      <x:c r="I45" s="63" t="n">
        <x:f>I43*I44</x:f>
        <x:v>1325574.245267148</x:v>
      </x:c>
      <x:c r="J45" s="63" t="n">
        <x:f>J43*J44</x:f>
        <x:v>1740661.1982569774</x:v>
      </x:c>
      <x:c r="K45" s="63" t="n">
        <x:f>K43*K44</x:f>
        <x:v>2202369.917246677</x:v>
      </x:c>
      <x:c r="L45" s="63" t="n">
        <x:f>L43*L44</x:f>
        <x:v>2707529.5180185633</x:v>
      </x:c>
      <x:c r="M45" s="63" t="n">
        <x:f>M43*M44</x:f>
        <x:v>3253117.409818614</x:v>
      </x:c>
      <x:c r="N45" s="63" t="n">
        <x:f>N43*N44</x:f>
        <x:v>3836253.2515444453</x:v>
      </x:c>
    </x:row>
    <x:row r="46">
      <x:c r="B46" t="str">
        <x:v>One-time revenue</x:v>
      </x:c>
      <x:c r="C46" s="63" t="n">
        <x:f>C39*'Inputs'!$B$16</x:f>
        <x:v>0</x:v>
      </x:c>
      <x:c r="D46" s="63" t="n">
        <x:f>D39*'Inputs'!$B$16</x:f>
        <x:v>0</x:v>
      </x:c>
      <x:c r="E46" s="63" t="n">
        <x:f>E39*'Inputs'!$B$16</x:f>
        <x:v>0</x:v>
      </x:c>
      <x:c r="F46" s="63" t="n">
        <x:f>F39*'Inputs'!$B$16</x:f>
        <x:v>0</x:v>
      </x:c>
      <x:c r="G46" s="63" t="n">
        <x:f>G39*'Inputs'!$B$16</x:f>
        <x:v>0</x:v>
      </x:c>
      <x:c r="H46" s="63" t="n">
        <x:f>H39*'Inputs'!$B$16</x:f>
        <x:v>0</x:v>
      </x:c>
      <x:c r="I46" s="63" t="n">
        <x:f>I39*'Inputs'!$B$16</x:f>
        <x:v>0</x:v>
      </x:c>
      <x:c r="J46" s="63" t="n">
        <x:f>J39*'Inputs'!$B$16</x:f>
        <x:v>0</x:v>
      </x:c>
      <x:c r="K46" s="63" t="n">
        <x:f>K39*'Inputs'!$B$16</x:f>
        <x:v>0</x:v>
      </x:c>
      <x:c r="L46" s="63" t="n">
        <x:f>L39*'Inputs'!$B$16</x:f>
        <x:v>0</x:v>
      </x:c>
      <x:c r="M46" s="63" t="n">
        <x:f>M39*'Inputs'!$B$16</x:f>
        <x:v>0</x:v>
      </x:c>
      <x:c r="N46" s="63" t="n">
        <x:f>N39*'Inputs'!$B$16</x:f>
        <x:v>0</x:v>
      </x:c>
    </x:row>
    <x:row r="47">
      <x:c r="B47" s="68" t="str">
        <x:v>Total revenue</x:v>
      </x:c>
      <x:c r="C47" s="69" t="n">
        <x:f>C45+C46</x:f>
        <x:v>12000</x:v>
      </x:c>
      <x:c r="D47" s="69" t="n">
        <x:f>D45+D46</x:f>
        <x:v>71640</x:v>
      </x:c>
      <x:c r="E47" s="69" t="n">
        <x:f>E45+E46</x:f>
        <x:v>200410.79999999996</x:v>
      </x:c>
      <x:c r="F47" s="69" t="n">
        <x:f>F45+F46</x:f>
        <x:v>394110.87600000005</x:v>
      </x:c>
      <x:c r="G47" s="69" t="n">
        <x:f>G45+G46</x:f>
        <x:v>648728.57772</x:v>
      </x:c>
      <x:c r="H47" s="69" t="n">
        <x:f>H45+H46</x:f>
        <x:v>960434.5175483999</x:v>
      </x:c>
      <x:c r="I47" s="69" t="n">
        <x:f>I45+I46</x:f>
        <x:v>1325574.245267148</x:v>
      </x:c>
      <x:c r="J47" s="69" t="n">
        <x:f>J45+J46</x:f>
        <x:v>1740661.1982569774</x:v>
      </x:c>
      <x:c r="K47" s="69" t="n">
        <x:f>K45+K46</x:f>
        <x:v>2202369.917246677</x:v>
      </x:c>
      <x:c r="L47" s="69" t="n">
        <x:f>L45+L46</x:f>
        <x:v>2707529.5180185633</x:v>
      </x:c>
      <x:c r="M47" s="69" t="n">
        <x:f>M45+M46</x:f>
        <x:v>3253117.409818614</x:v>
      </x:c>
      <x:c r="N47" s="69" t="n">
        <x:f>N45+N46</x:f>
        <x:v>3836253.2515444453</x:v>
      </x:c>
    </x:row>
    <x:row r="48">
      <x:c r="B48" t="str">
        <x:v>Paid variable cost</x:v>
      </x:c>
      <x:c r="C48" s="63" t="n">
        <x:f>C43*'Inputs'!$B$12*'Scenarios'!$G$6</x:f>
        <x:v>1250</x:v>
      </x:c>
      <x:c r="D48" s="63" t="n">
        <x:f>D43*'Inputs'!$B$12*'Scenarios'!$G$6</x:f>
        <x:v>7462.5</x:v>
      </x:c>
      <x:c r="E48" s="63" t="n">
        <x:f>E43*'Inputs'!$B$12*'Scenarios'!$G$6</x:f>
        <x:v>20876.124999999996</x:v>
      </x:c>
      <x:c r="F48" s="63" t="n">
        <x:f>F43*'Inputs'!$B$12*'Scenarios'!$G$6</x:f>
        <x:v>41053.216250000005</x:v>
      </x:c>
      <x:c r="G48" s="63" t="n">
        <x:f>G43*'Inputs'!$B$12*'Scenarios'!$G$6</x:f>
        <x:v>67575.89351249998</x:v>
      </x:c>
      <x:c r="H48" s="63" t="n">
        <x:f>H43*'Inputs'!$B$12*'Scenarios'!$G$6</x:f>
        <x:v>100045.26224462499</x:v>
      </x:c>
      <x:c r="I48" s="63" t="n">
        <x:f>I43*'Inputs'!$B$12*'Scenarios'!$G$6</x:f>
        <x:v>138080.65054866124</x:v>
      </x:c>
      <x:c r="J48" s="63" t="n">
        <x:f>J43*'Inputs'!$B$12*'Scenarios'!$G$6</x:f>
        <x:v>181318.87481843514</x:v>
      </x:c>
      <x:c r="K48" s="63" t="n">
        <x:f>K43*'Inputs'!$B$12*'Scenarios'!$G$6</x:f>
        <x:v>229413.53304652884</x:v>
      </x:c>
      <x:c r="L48" s="63" t="n">
        <x:f>L43*'Inputs'!$B$12*'Scenarios'!$G$6</x:f>
        <x:v>282034.3247936003</x:v>
      </x:c>
      <x:c r="M48" s="63" t="n">
        <x:f>M43*'Inputs'!$B$12*'Scenarios'!$G$6</x:f>
        <x:v>338866.3968561056</x:v>
      </x:c>
      <x:c r="N48" s="63" t="n">
        <x:f>N43*'Inputs'!$B$12*'Scenarios'!$G$6</x:f>
        <x:v>399609.7137025464</x:v>
      </x:c>
    </x:row>
    <x:row r="49">
      <x:c r="B49" t="str">
        <x:v>Free variable cost</x:v>
      </x:c>
      <x:c r="C49" s="63" t="n">
        <x:f>C42*'Inputs'!$B$13*'Scenarios'!$G$6</x:f>
        <x:v>2500</x:v>
      </x:c>
      <x:c r="D49" s="63" t="n">
        <x:f>D42*'Inputs'!$B$13*'Scenarios'!$G$6</x:f>
        <x:v>7425</x:v>
      </x:c>
      <x:c r="E49" s="63" t="n">
        <x:f>E42*'Inputs'!$B$13*'Scenarios'!$G$6</x:f>
        <x:v>12202.25</x:v>
      </x:c>
      <x:c r="F49" s="63" t="n">
        <x:f>F42*'Inputs'!$B$13*'Scenarios'!$G$6</x:f>
        <x:v>16836.1825</x:v>
      </x:c>
      <x:c r="G49" s="63" t="n">
        <x:f>G42*'Inputs'!$B$13*'Scenarios'!$G$6</x:f>
        <x:v>21331.097024999995</x:v>
      </x:c>
      <x:c r="H49" s="63" t="n">
        <x:f>H42*'Inputs'!$B$13*'Scenarios'!$G$6</x:f>
        <x:v>25691.16411425</x:v>
      </x:c>
      <x:c r="I49" s="63" t="n">
        <x:f>I42*'Inputs'!$B$13*'Scenarios'!$G$6</x:f>
        <x:v>29920.4291908225</x:v>
      </x:c>
      <x:c r="J49" s="63" t="n">
        <x:f>J42*'Inputs'!$B$13*'Scenarios'!$G$6</x:f>
        <x:v>34022.81631509783</x:v>
      </x:c>
      <x:c r="K49" s="63" t="n">
        <x:f>K42*'Inputs'!$B$13*'Scenarios'!$G$6</x:f>
        <x:v>38002.131825644894</x:v>
      </x:c>
      <x:c r="L49" s="63" t="n">
        <x:f>L42*'Inputs'!$B$13*'Scenarios'!$G$6</x:f>
        <x:v>41862.067870875544</x:v>
      </x:c>
      <x:c r="M49" s="63" t="n">
        <x:f>M42*'Inputs'!$B$13*'Scenarios'!$G$6</x:f>
        <x:v>45606.20583474928</x:v>
      </x:c>
      <x:c r="N49" s="63" t="n">
        <x:f>N42*'Inputs'!$B$13*'Scenarios'!$G$6</x:f>
        <x:v>49238.019659706806</x:v>
      </x:c>
    </x:row>
    <x:row r="50">
      <x:c r="B50" t="str">
        <x:v>Fixed cost</x:v>
      </x:c>
      <x:c r="C50" s="63" t="n">
        <x:f>'Inputs'!$B$14*'Scenarios'!$H$6</x:f>
        <x:v>1500000</x:v>
      </x:c>
      <x:c r="D50" s="63" t="n">
        <x:f>'Inputs'!$B$14*'Scenarios'!$H$6</x:f>
        <x:v>1500000</x:v>
      </x:c>
      <x:c r="E50" s="63" t="n">
        <x:f>'Inputs'!$B$14*'Scenarios'!$H$6</x:f>
        <x:v>1500000</x:v>
      </x:c>
      <x:c r="F50" s="63" t="n">
        <x:f>'Inputs'!$B$14*'Scenarios'!$H$6</x:f>
        <x:v>1500000</x:v>
      </x:c>
      <x:c r="G50" s="63" t="n">
        <x:f>'Inputs'!$B$14*'Scenarios'!$H$6</x:f>
        <x:v>1500000</x:v>
      </x:c>
      <x:c r="H50" s="63" t="n">
        <x:f>'Inputs'!$B$14*'Scenarios'!$H$6</x:f>
        <x:v>1500000</x:v>
      </x:c>
      <x:c r="I50" s="63" t="n">
        <x:f>'Inputs'!$B$14*'Scenarios'!$H$6</x:f>
        <x:v>1500000</x:v>
      </x:c>
      <x:c r="J50" s="63" t="n">
        <x:f>'Inputs'!$B$14*'Scenarios'!$H$6</x:f>
        <x:v>1500000</x:v>
      </x:c>
      <x:c r="K50" s="63" t="n">
        <x:f>'Inputs'!$B$14*'Scenarios'!$H$6</x:f>
        <x:v>1500000</x:v>
      </x:c>
      <x:c r="L50" s="63" t="n">
        <x:f>'Inputs'!$B$14*'Scenarios'!$H$6</x:f>
        <x:v>1500000</x:v>
      </x:c>
      <x:c r="M50" s="63" t="n">
        <x:f>'Inputs'!$B$14*'Scenarios'!$H$6</x:f>
        <x:v>1500000</x:v>
      </x:c>
      <x:c r="N50" s="63" t="n">
        <x:f>'Inputs'!$B$14*'Scenarios'!$H$6</x:f>
        <x:v>1500000</x:v>
      </x:c>
    </x:row>
    <x:row r="51">
      <x:c r="B51" t="str">
        <x:v>Acquisition spend</x:v>
      </x:c>
      <x:c r="C51" s="63" t="n">
        <x:f>'Inputs'!$B$15*'Scenarios'!$I$6</x:f>
        <x:v>250000</x:v>
      </x:c>
      <x:c r="D51" s="63" t="n">
        <x:f>'Inputs'!$B$15*'Scenarios'!$I$6</x:f>
        <x:v>250000</x:v>
      </x:c>
      <x:c r="E51" s="63" t="n">
        <x:f>'Inputs'!$B$15*'Scenarios'!$I$6</x:f>
        <x:v>250000</x:v>
      </x:c>
      <x:c r="F51" s="63" t="n">
        <x:f>'Inputs'!$B$15*'Scenarios'!$I$6</x:f>
        <x:v>250000</x:v>
      </x:c>
      <x:c r="G51" s="63" t="n">
        <x:f>'Inputs'!$B$15*'Scenarios'!$I$6</x:f>
        <x:v>250000</x:v>
      </x:c>
      <x:c r="H51" s="63" t="n">
        <x:f>'Inputs'!$B$15*'Scenarios'!$I$6</x:f>
        <x:v>250000</x:v>
      </x:c>
      <x:c r="I51" s="63" t="n">
        <x:f>'Inputs'!$B$15*'Scenarios'!$I$6</x:f>
        <x:v>250000</x:v>
      </x:c>
      <x:c r="J51" s="63" t="n">
        <x:f>'Inputs'!$B$15*'Scenarios'!$I$6</x:f>
        <x:v>250000</x:v>
      </x:c>
      <x:c r="K51" s="63" t="n">
        <x:f>'Inputs'!$B$15*'Scenarios'!$I$6</x:f>
        <x:v>250000</x:v>
      </x:c>
      <x:c r="L51" s="63" t="n">
        <x:f>'Inputs'!$B$15*'Scenarios'!$I$6</x:f>
        <x:v>250000</x:v>
      </x:c>
      <x:c r="M51" s="63" t="n">
        <x:f>'Inputs'!$B$15*'Scenarios'!$I$6</x:f>
        <x:v>250000</x:v>
      </x:c>
      <x:c r="N51" s="63" t="n">
        <x:f>'Inputs'!$B$15*'Scenarios'!$I$6</x:f>
        <x:v>250000</x:v>
      </x:c>
    </x:row>
    <x:row r="52">
      <x:c r="B52" t="str">
        <x:v>Total cost</x:v>
      </x:c>
      <x:c r="C52" s="63" t="n">
        <x:f>SUM(C48:C51)</x:f>
        <x:v>1753750</x:v>
      </x:c>
      <x:c r="D52" s="63" t="n">
        <x:f>SUM(D48:D51)</x:f>
        <x:v>1764887.5</x:v>
      </x:c>
      <x:c r="E52" s="63" t="n">
        <x:f>SUM(E48:E51)</x:f>
        <x:v>1783078.375</x:v>
      </x:c>
      <x:c r="F52" s="63" t="n">
        <x:f>SUM(F48:F51)</x:f>
        <x:v>1807889.39875</x:v>
      </x:c>
      <x:c r="G52" s="63" t="n">
        <x:f>SUM(G48:G51)</x:f>
        <x:v>1838906.9905375</x:v>
      </x:c>
      <x:c r="H52" s="63" t="n">
        <x:f>SUM(H48:H51)</x:f>
        <x:v>1875736.426358875</x:v>
      </x:c>
      <x:c r="I52" s="63" t="n">
        <x:f>SUM(I48:I51)</x:f>
        <x:v>1918001.0797394838</x:v>
      </x:c>
      <x:c r="J52" s="63" t="n">
        <x:f>SUM(J48:J51)</x:f>
        <x:v>1965341.691133533</x:v>
      </x:c>
      <x:c r="K52" s="63" t="n">
        <x:f>SUM(K48:K51)</x:f>
        <x:v>2017415.6648721737</x:v>
      </x:c>
      <x:c r="L52" s="63" t="n">
        <x:f>SUM(L48:L51)</x:f>
        <x:v>2073896.3926644758</x:v>
      </x:c>
      <x:c r="M52" s="63" t="n">
        <x:f>SUM(M48:M51)</x:f>
        <x:v>2134472.602690855</x:v>
      </x:c>
      <x:c r="N52" s="63" t="n">
        <x:f>SUM(N48:N51)</x:f>
        <x:v>2198847.7333622533</x:v>
      </x:c>
    </x:row>
    <x:row r="53">
      <x:c r="B53" s="74" t="str">
        <x:v>Operating profit</x:v>
      </x:c>
      <x:c r="C53" s="75" t="n">
        <x:f>C47-C52</x:f>
        <x:v>-1741750</x:v>
      </x:c>
      <x:c r="D53" s="75" t="n">
        <x:f>D47-D52</x:f>
        <x:v>-1693247.5</x:v>
      </x:c>
      <x:c r="E53" s="75" t="n">
        <x:f>E47-E52</x:f>
        <x:v>-1582667.575</x:v>
      </x:c>
      <x:c r="F53" s="75" t="n">
        <x:f>F47-F52</x:f>
        <x:v>-1413778.52275</x:v>
      </x:c>
      <x:c r="G53" s="75" t="n">
        <x:f>G47-G52</x:f>
        <x:v>-1190178.4128175</x:v>
      </x:c>
      <x:c r="H53" s="75" t="n">
        <x:f>H47-H52</x:f>
        <x:v>-915301.908810475</x:v>
      </x:c>
      <x:c r="I53" s="75" t="n">
        <x:f>I47-I52</x:f>
        <x:v>-592426.8344723359</x:v>
      </x:c>
      <x:c r="J53" s="75" t="n">
        <x:f>J47-J52</x:f>
        <x:v>-224680.49287655554</x:v>
      </x:c>
      <x:c r="K53" s="75" t="n">
        <x:f>K47-K52</x:f>
        <x:v>184954.2523745033</x:v>
      </x:c>
      <x:c r="L53" s="75" t="n">
        <x:f>L47-L52</x:f>
        <x:v>633633.1253540874</x:v>
      </x:c>
      <x:c r="M53" s="75" t="n">
        <x:f>M47-M52</x:f>
        <x:v>1118644.8071277589</x:v>
      </x:c>
      <x:c r="N53" s="75" t="n">
        <x:f>N47-N52</x:f>
        <x:v>1637405.518182192</x:v>
      </x:c>
    </x:row>
    <x:row r="54">
      <x:c r="B54" t="str">
        <x:v>Ending cash</x:v>
      </x:c>
      <x:c r="C54" s="63" t="n">
        <x:f>'Inputs'!$B$17+C53</x:f>
        <x:v>8258250</x:v>
      </x:c>
      <x:c r="D54" s="63" t="n">
        <x:f>C54+D53</x:f>
        <x:v>6565002.5</x:v>
      </x:c>
      <x:c r="E54" s="63" t="n">
        <x:f>D54+E53</x:f>
        <x:v>4982334.925</x:v>
      </x:c>
      <x:c r="F54" s="63" t="n">
        <x:f>E54+F53</x:f>
        <x:v>3568556.40225</x:v>
      </x:c>
      <x:c r="G54" s="63" t="n">
        <x:f>F54+G53</x:f>
        <x:v>2378377.9894324997</x:v>
      </x:c>
      <x:c r="H54" s="63" t="n">
        <x:f>G54+H53</x:f>
        <x:v>1463076.0806220248</x:v>
      </x:c>
      <x:c r="I54" s="63" t="n">
        <x:f>H54+I53</x:f>
        <x:v>870649.246149689</x:v>
      </x:c>
      <x:c r="J54" s="63" t="n">
        <x:f>I54+J53</x:f>
        <x:v>645968.7532731334</x:v>
      </x:c>
      <x:c r="K54" s="63" t="n">
        <x:f>J54+K53</x:f>
        <x:v>830923.0056476367</x:v>
      </x:c>
      <x:c r="L54" s="63" t="n">
        <x:f>K54+L53</x:f>
        <x:v>1464556.1310017242</x:v>
      </x:c>
      <x:c r="M54" s="63" t="n">
        <x:f>L54+M53</x:f>
        <x:v>2583200.938129483</x:v>
      </x:c>
      <x:c r="N54" s="63" t="n">
        <x:f>M54+N53</x:f>
        <x:v>4220606.456311675</x:v>
      </x:c>
    </x:row>
    <x:row r="57" ht="22" customHeight="1">
      <x:c r="A57" s="49" t="str">
        <x:v>OPTIMISTIC SCENARIO</x:v>
      </x:c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</x:row>
    <x:row r="58">
      <x:c r="B58" s="16" t="str">
        <x:v>Metric</x:v>
      </x:c>
      <x:c r="C58" s="17" t="str">
        <x:v>M1</x:v>
      </x:c>
      <x:c r="D58" s="17" t="str">
        <x:v>M2</x:v>
      </x:c>
      <x:c r="E58" s="17" t="str">
        <x:v>M3</x:v>
      </x:c>
      <x:c r="F58" s="17" t="str">
        <x:v>M4</x:v>
      </x:c>
      <x:c r="G58" s="17" t="str">
        <x:v>M5</x:v>
      </x:c>
      <x:c r="H58" s="17" t="str">
        <x:v>M6</x:v>
      </x:c>
      <x:c r="I58" s="17" t="str">
        <x:v>M7</x:v>
      </x:c>
      <x:c r="J58" s="17" t="str">
        <x:v>M8</x:v>
      </x:c>
      <x:c r="K58" s="17" t="str">
        <x:v>M9</x:v>
      </x:c>
      <x:c r="L58" s="17" t="str">
        <x:v>M10</x:v>
      </x:c>
      <x:c r="M58" s="17" t="str">
        <x:v>M11</x:v>
      </x:c>
      <x:c r="N58" s="18" t="str">
        <x:v>M12</x:v>
      </x:c>
    </x:row>
    <x:row r="59">
      <x:c r="B59" t="str">
        <x:v>Opening free users</x:v>
      </x:c>
      <x:c r="C59" s="62" t="n">
        <x:f>'Inputs'!$B$5</x:f>
        <x:v>0</x:v>
      </x:c>
      <x:c r="D59" s="62" t="n">
        <x:f>C62</x:f>
        <x:v>150</x:v>
      </x:c>
      <x:c r="E59" s="62" t="n">
        <x:f>D62</x:f>
        <x:v>294.15</x:v>
      </x:c>
      <x:c r="F59" s="62" t="n">
        <x:f>E62</x:f>
        <x:v>432.67814999999996</x:v>
      </x:c>
      <x:c r="G59" s="62" t="n">
        <x:f>F62</x:f>
        <x:v>565.8037021499999</x:v>
      </x:c>
      <x:c r="H59" s="62" t="n">
        <x:f>G62</x:f>
        <x:v>693.7373577661499</x:v>
      </x:c>
      <x:c r="I59" s="62" t="n">
        <x:f>H62</x:f>
        <x:v>816.68160081327</x:v>
      </x:c>
      <x:c r="J59" s="62" t="n">
        <x:f>I62</x:f>
        <x:v>934.8310183815526</x:v>
      </x:c>
      <x:c r="K59" s="62" t="n">
        <x:f>J62</x:f>
        <x:v>1048.3726086646718</x:v>
      </x:c>
      <x:c r="L59" s="62" t="n">
        <x:f>K62</x:f>
        <x:v>1157.4860769267495</x:v>
      </x:c>
      <x:c r="M59" s="62" t="n">
        <x:f>L62</x:f>
        <x:v>1262.3441199266063</x:v>
      </x:c>
      <x:c r="N59" s="62" t="n">
        <x:f>M62</x:f>
        <x:v>1363.1126992494685</x:v>
      </x:c>
    </x:row>
    <x:row r="60">
      <x:c r="B60" t="str">
        <x:v>New free users</x:v>
      </x:c>
      <x:c r="C60" s="62" t="n">
        <x:f>'Inputs'!$B$7*'Scenarios'!$B$7</x:f>
        <x:v>150</x:v>
      </x:c>
      <x:c r="D60" s="62" t="n">
        <x:f>'Inputs'!$B$7*'Scenarios'!$B$7</x:f>
        <x:v>150</x:v>
      </x:c>
      <x:c r="E60" s="62" t="n">
        <x:f>'Inputs'!$B$7*'Scenarios'!$B$7</x:f>
        <x:v>150</x:v>
      </x:c>
      <x:c r="F60" s="62" t="n">
        <x:f>'Inputs'!$B$7*'Scenarios'!$B$7</x:f>
        <x:v>150</x:v>
      </x:c>
      <x:c r="G60" s="62" t="n">
        <x:f>'Inputs'!$B$7*'Scenarios'!$B$7</x:f>
        <x:v>150</x:v>
      </x:c>
      <x:c r="H60" s="62" t="n">
        <x:f>'Inputs'!$B$7*'Scenarios'!$B$7</x:f>
        <x:v>150</x:v>
      </x:c>
      <x:c r="I60" s="62" t="n">
        <x:f>'Inputs'!$B$7*'Scenarios'!$B$7</x:f>
        <x:v>150</x:v>
      </x:c>
      <x:c r="J60" s="62" t="n">
        <x:f>'Inputs'!$B$7*'Scenarios'!$B$7</x:f>
        <x:v>150</x:v>
      </x:c>
      <x:c r="K60" s="62" t="n">
        <x:f>'Inputs'!$B$7*'Scenarios'!$B$7</x:f>
        <x:v>150</x:v>
      </x:c>
      <x:c r="L60" s="62" t="n">
        <x:f>'Inputs'!$B$7*'Scenarios'!$B$7</x:f>
        <x:v>150</x:v>
      </x:c>
      <x:c r="M60" s="62" t="n">
        <x:f>'Inputs'!$B$7*'Scenarios'!$B$7</x:f>
        <x:v>150</x:v>
      </x:c>
      <x:c r="N60" s="62" t="n">
        <x:f>'Inputs'!$B$7*'Scenarios'!$B$7</x:f>
        <x:v>150</x:v>
      </x:c>
    </x:row>
    <x:row r="61">
      <x:c r="B61" t="str">
        <x:v>Free users converted</x:v>
      </x:c>
      <x:c r="C61" s="62" t="n">
        <x:f>C59*'Inputs'!$B$8*'Scenarios'!$C$7</x:f>
        <x:v>0</x:v>
      </x:c>
      <x:c r="D61" s="62" t="n">
        <x:f>D59*'Inputs'!$B$8*'Scenarios'!$C$7</x:f>
        <x:v>5.8500000000000005</x:v>
      </x:c>
      <x:c r="E61" s="62" t="n">
        <x:f>E59*'Inputs'!$B$8*'Scenarios'!$C$7</x:f>
        <x:v>11.471849999999998</x:v>
      </x:c>
      <x:c r="F61" s="62" t="n">
        <x:f>F59*'Inputs'!$B$8*'Scenarios'!$C$7</x:f>
        <x:v>16.874447849999996</x:v>
      </x:c>
      <x:c r="G61" s="62" t="n">
        <x:f>G59*'Inputs'!$B$8*'Scenarios'!$C$7</x:f>
        <x:v>22.066344383849998</x:v>
      </x:c>
      <x:c r="H61" s="62" t="n">
        <x:f>H59*'Inputs'!$B$8*'Scenarios'!$C$7</x:f>
        <x:v>27.055756952879847</x:v>
      </x:c>
      <x:c r="I61" s="62" t="n">
        <x:f>I59*'Inputs'!$B$8*'Scenarios'!$C$7</x:f>
        <x:v>31.85058243171753</x:v>
      </x:c>
      <x:c r="J61" s="62" t="n">
        <x:f>J59*'Inputs'!$B$8*'Scenarios'!$C$7</x:f>
        <x:v>36.45840971688055</x:v>
      </x:c>
      <x:c r="K61" s="62" t="n">
        <x:f>K59*'Inputs'!$B$8*'Scenarios'!$C$7</x:f>
        <x:v>40.8865317379222</x:v>
      </x:c>
      <x:c r="L61" s="62" t="n">
        <x:f>L59*'Inputs'!$B$8*'Scenarios'!$C$7</x:f>
        <x:v>45.141957000143236</x:v>
      </x:c>
      <x:c r="M61" s="62" t="n">
        <x:f>M59*'Inputs'!$B$8*'Scenarios'!$C$7</x:f>
        <x:v>49.23142067713764</x:v>
      </x:c>
      <x:c r="N61" s="62" t="n">
        <x:f>N59*'Inputs'!$B$8*'Scenarios'!$C$7</x:f>
        <x:v>53.16139527072927</x:v>
      </x:c>
    </x:row>
    <x:row r="62">
      <x:c r="B62" t="str">
        <x:v>Ending free users</x:v>
      </x:c>
      <x:c r="C62" s="62" t="n">
        <x:f>MAX(0,C59+C60-C61)</x:f>
        <x:v>150</x:v>
      </x:c>
      <x:c r="D62" s="62" t="n">
        <x:f>MAX(0,D59+D60-D61)</x:f>
        <x:v>294.15</x:v>
      </x:c>
      <x:c r="E62" s="62" t="n">
        <x:f>MAX(0,E59+E60-E61)</x:f>
        <x:v>432.67814999999996</x:v>
      </x:c>
      <x:c r="F62" s="62" t="n">
        <x:f>MAX(0,F59+F60-F61)</x:f>
        <x:v>565.8037021499999</x:v>
      </x:c>
      <x:c r="G62" s="62" t="n">
        <x:f>MAX(0,G59+G60-G61)</x:f>
        <x:v>693.7373577661499</x:v>
      </x:c>
      <x:c r="H62" s="62" t="n">
        <x:f>MAX(0,H59+H60-H61)</x:f>
        <x:v>816.68160081327</x:v>
      </x:c>
      <x:c r="I62" s="62" t="n">
        <x:f>MAX(0,I59+I60-I61)</x:f>
        <x:v>934.8310183815526</x:v>
      </x:c>
      <x:c r="J62" s="62" t="n">
        <x:f>MAX(0,J59+J60-J61)</x:f>
        <x:v>1048.3726086646718</x:v>
      </x:c>
      <x:c r="K62" s="62" t="n">
        <x:f>MAX(0,K59+K60-K61)</x:f>
        <x:v>1157.4860769267495</x:v>
      </x:c>
      <x:c r="L62" s="62" t="n">
        <x:f>MAX(0,L59+L60-L61)</x:f>
        <x:v>1262.3441199266063</x:v>
      </x:c>
      <x:c r="M62" s="62" t="n">
        <x:f>MAX(0,M59+M60-M61)</x:f>
        <x:v>1363.1126992494685</x:v>
      </x:c>
      <x:c r="N62" s="62" t="n">
        <x:f>MAX(0,N59+N60-N61)</x:f>
        <x:v>1459.9513039787391</x:v>
      </x:c>
    </x:row>
    <x:row r="63">
      <x:c r="B63" t="str">
        <x:v>Opening paid customers</x:v>
      </x:c>
      <x:c r="C63" s="62" t="n">
        <x:f>'Inputs'!$B$6</x:f>
        <x:v>0</x:v>
      </x:c>
      <x:c r="D63" s="62" t="n">
        <x:f>C67</x:f>
        <x:v>1.5</x:v>
      </x:c>
      <x:c r="E63" s="62" t="n">
        <x:f>D67</x:f>
        <x:v>8.816250000000002</x:v>
      </x:c>
      <x:c r="F63" s="62" t="n">
        <x:f>E67</x:f>
        <x:v>21.589734375</x:v>
      </x:c>
      <x:c r="G63" s="62" t="n">
        <x:f>F67</x:f>
        <x:v>39.478413201562496</x:v>
      </x:c>
      <x:c r="H63" s="62" t="n">
        <x:f>G67</x:f>
        <x:v>62.15649328837734</x:v>
      </x:c>
      <x:c r="I63" s="62" t="n">
        <x:f>H67</x:f>
        <x:v>89.31372914226868</x:v>
      </x:c>
      <x:c r="J63" s="62" t="n">
        <x:f>I67</x:f>
        <x:v>120.65475266828517</x:v>
      </x:c>
      <x:c r="K63" s="62" t="n">
        <x:f>J67</x:f>
        <x:v>155.8984304501293</x:v>
      </x:c>
      <x:c r="L63" s="62" t="n">
        <x:f>K67</x:f>
        <x:v>194.7772475029236</x:v>
      </x:c>
      <x:c r="M63" s="62" t="n">
        <x:f>L67</x:f>
        <x:v>237.03671643425105</x:v>
      </x:c>
      <x:c r="N63" s="62" t="n">
        <x:f>M67</x:f>
        <x:v>282.434810991618</x:v>
      </x:c>
    </x:row>
    <x:row r="64">
      <x:c r="B64" t="str">
        <x:v>Direct new paid</x:v>
      </x:c>
      <x:c r="C64" s="62" t="n">
        <x:f>'Inputs'!$B$9*'Scenarios'!$D$7</x:f>
        <x:v>1.5</x:v>
      </x:c>
      <x:c r="D64" s="62" t="n">
        <x:f>'Inputs'!$B$9*'Scenarios'!$D$7</x:f>
        <x:v>1.5</x:v>
      </x:c>
      <x:c r="E64" s="62" t="n">
        <x:f>'Inputs'!$B$9*'Scenarios'!$D$7</x:f>
        <x:v>1.5</x:v>
      </x:c>
      <x:c r="F64" s="62" t="n">
        <x:f>'Inputs'!$B$9*'Scenarios'!$D$7</x:f>
        <x:v>1.5</x:v>
      </x:c>
      <x:c r="G64" s="62" t="n">
        <x:f>'Inputs'!$B$9*'Scenarios'!$D$7</x:f>
        <x:v>1.5</x:v>
      </x:c>
      <x:c r="H64" s="62" t="n">
        <x:f>'Inputs'!$B$9*'Scenarios'!$D$7</x:f>
        <x:v>1.5</x:v>
      </x:c>
      <x:c r="I64" s="62" t="n">
        <x:f>'Inputs'!$B$9*'Scenarios'!$D$7</x:f>
        <x:v>1.5</x:v>
      </x:c>
      <x:c r="J64" s="62" t="n">
        <x:f>'Inputs'!$B$9*'Scenarios'!$D$7</x:f>
        <x:v>1.5</x:v>
      </x:c>
      <x:c r="K64" s="62" t="n">
        <x:f>'Inputs'!$B$9*'Scenarios'!$D$7</x:f>
        <x:v>1.5</x:v>
      </x:c>
      <x:c r="L64" s="62" t="n">
        <x:f>'Inputs'!$B$9*'Scenarios'!$D$7</x:f>
        <x:v>1.5</x:v>
      </x:c>
      <x:c r="M64" s="62" t="n">
        <x:f>'Inputs'!$B$9*'Scenarios'!$D$7</x:f>
        <x:v>1.5</x:v>
      </x:c>
      <x:c r="N64" s="62" t="n">
        <x:f>'Inputs'!$B$9*'Scenarios'!$D$7</x:f>
        <x:v>1.5</x:v>
      </x:c>
    </x:row>
    <x:row r="65">
      <x:c r="B65" t="str">
        <x:v>Total new paid</x:v>
      </x:c>
      <x:c r="C65" s="62" t="n">
        <x:f>C61+C64</x:f>
        <x:v>1.5</x:v>
      </x:c>
      <x:c r="D65" s="62" t="n">
        <x:f>D61+D64</x:f>
        <x:v>7.3500000000000005</x:v>
      </x:c>
      <x:c r="E65" s="62" t="n">
        <x:f>E61+E64</x:f>
        <x:v>12.971849999999998</x:v>
      </x:c>
      <x:c r="F65" s="62" t="n">
        <x:f>F61+F64</x:f>
        <x:v>18.374447849999996</x:v>
      </x:c>
      <x:c r="G65" s="62" t="n">
        <x:f>G61+G64</x:f>
        <x:v>23.566344383849998</x:v>
      </x:c>
      <x:c r="H65" s="62" t="n">
        <x:f>H61+H64</x:f>
        <x:v>28.555756952879847</x:v>
      </x:c>
      <x:c r="I65" s="62" t="n">
        <x:f>I61+I64</x:f>
        <x:v>33.35058243171753</x:v>
      </x:c>
      <x:c r="J65" s="62" t="n">
        <x:f>J61+J64</x:f>
        <x:v>37.95840971688055</x:v>
      </x:c>
      <x:c r="K65" s="62" t="n">
        <x:f>K61+K64</x:f>
        <x:v>42.3865317379222</x:v>
      </x:c>
      <x:c r="L65" s="62" t="n">
        <x:f>L61+L64</x:f>
        <x:v>46.641957000143236</x:v>
      </x:c>
      <x:c r="M65" s="62" t="n">
        <x:f>M61+M64</x:f>
        <x:v>50.73142067713764</x:v>
      </x:c>
      <x:c r="N65" s="62" t="n">
        <x:f>N61+N64</x:f>
        <x:v>54.66139527072927</x:v>
      </x:c>
    </x:row>
    <x:row r="66">
      <x:c r="B66" t="str">
        <x:v>Paid customers churned</x:v>
      </x:c>
      <x:c r="C66" s="62" t="n">
        <x:f>C63*'Inputs'!$B$10*'Scenarios'!$E$7</x:f>
        <x:v>0</x:v>
      </x:c>
      <x:c r="D66" s="62" t="n">
        <x:f>D63*'Inputs'!$B$10*'Scenarios'!$E$7</x:f>
        <x:v>0.03375</x:v>
      </x:c>
      <x:c r="E66" s="62" t="n">
        <x:f>E63*'Inputs'!$B$10*'Scenarios'!$E$7</x:f>
        <x:v>0.19836562500000005</x:v>
      </x:c>
      <x:c r="F66" s="62" t="n">
        <x:f>F63*'Inputs'!$B$10*'Scenarios'!$E$7</x:f>
        <x:v>0.48576902343749995</x:v>
      </x:c>
      <x:c r="G66" s="62" t="n">
        <x:f>G63*'Inputs'!$B$10*'Scenarios'!$E$7</x:f>
        <x:v>0.8882642970351562</x:v>
      </x:c>
      <x:c r="H66" s="62" t="n">
        <x:f>H63*'Inputs'!$B$10*'Scenarios'!$E$7</x:f>
        <x:v>1.3985210989884902</x:v>
      </x:c>
      <x:c r="I66" s="62" t="n">
        <x:f>I63*'Inputs'!$B$10*'Scenarios'!$E$7</x:f>
        <x:v>2.0095589057010455</x:v>
      </x:c>
      <x:c r="J66" s="62" t="n">
        <x:f>J63*'Inputs'!$B$10*'Scenarios'!$E$7</x:f>
        <x:v>2.714731935036416</x:v>
      </x:c>
      <x:c r="K66" s="62" t="n">
        <x:f>K63*'Inputs'!$B$10*'Scenarios'!$E$7</x:f>
        <x:v>3.507714685127909</x:v>
      </x:c>
      <x:c r="L66" s="62" t="n">
        <x:f>L63*'Inputs'!$B$10*'Scenarios'!$E$7</x:f>
        <x:v>4.38248806881578</x:v>
      </x:c>
      <x:c r="M66" s="62" t="n">
        <x:f>M63*'Inputs'!$B$10*'Scenarios'!$E$7</x:f>
        <x:v>5.333326119770648</x:v>
      </x:c>
      <x:c r="N66" s="62" t="n">
        <x:f>N63*'Inputs'!$B$10*'Scenarios'!$E$7</x:f>
        <x:v>6.3547832473114045</x:v>
      </x:c>
    </x:row>
    <x:row r="67">
      <x:c r="B67" t="str">
        <x:v>Ending paid customers</x:v>
      </x:c>
      <x:c r="C67" s="62" t="n">
        <x:f>MAX(0,C63+C65-C66)</x:f>
        <x:v>1.5</x:v>
      </x:c>
      <x:c r="D67" s="62" t="n">
        <x:f>MAX(0,D63+D65-D66)</x:f>
        <x:v>8.816250000000002</x:v>
      </x:c>
      <x:c r="E67" s="62" t="n">
        <x:f>MAX(0,E63+E65-E66)</x:f>
        <x:v>21.589734375</x:v>
      </x:c>
      <x:c r="F67" s="62" t="n">
        <x:f>MAX(0,F63+F65-F66)</x:f>
        <x:v>39.478413201562496</x:v>
      </x:c>
      <x:c r="G67" s="62" t="n">
        <x:f>MAX(0,G63+G65-G66)</x:f>
        <x:v>62.15649328837734</x:v>
      </x:c>
      <x:c r="H67" s="62" t="n">
        <x:f>MAX(0,H63+H65-H66)</x:f>
        <x:v>89.31372914226868</x:v>
      </x:c>
      <x:c r="I67" s="62" t="n">
        <x:f>MAX(0,I63+I65-I66)</x:f>
        <x:v>120.65475266828517</x:v>
      </x:c>
      <x:c r="J67" s="62" t="n">
        <x:f>MAX(0,J63+J65-J66)</x:f>
        <x:v>155.8984304501293</x:v>
      </x:c>
      <x:c r="K67" s="62" t="n">
        <x:f>MAX(0,K63+K65-K66)</x:f>
        <x:v>194.7772475029236</x:v>
      </x:c>
      <x:c r="L67" s="62" t="n">
        <x:f>MAX(0,L63+L65-L66)</x:f>
        <x:v>237.03671643425105</x:v>
      </x:c>
      <x:c r="M67" s="62" t="n">
        <x:f>MAX(0,M63+M65-M66)</x:f>
        <x:v>282.434810991618</x:v>
      </x:c>
      <x:c r="N67" s="62" t="n">
        <x:f>MAX(0,N63+N65-N66)</x:f>
        <x:v>330.7414230150359</x:v>
      </x:c>
    </x:row>
    <x:row r="68">
      <x:c r="B68" t="str">
        <x:v>Average free users</x:v>
      </x:c>
      <x:c r="C68" s="62" t="n">
        <x:f>(C59+C62)/2</x:f>
        <x:v>75</x:v>
      </x:c>
      <x:c r="D68" s="62" t="n">
        <x:f>(D59+D62)/2</x:f>
        <x:v>222.075</x:v>
      </x:c>
      <x:c r="E68" s="62" t="n">
        <x:f>(E59+E62)/2</x:f>
        <x:v>363.41407499999997</x:v>
      </x:c>
      <x:c r="F68" s="62" t="n">
        <x:f>(F59+F62)/2</x:f>
        <x:v>499.24092607499995</x:v>
      </x:c>
      <x:c r="G68" s="62" t="n">
        <x:f>(G59+G62)/2</x:f>
        <x:v>629.7705299580749</x:v>
      </x:c>
      <x:c r="H68" s="62" t="n">
        <x:f>(H59+H62)/2</x:f>
        <x:v>755.20947928971</x:v>
      </x:c>
      <x:c r="I68" s="62" t="n">
        <x:f>(I59+I62)/2</x:f>
        <x:v>875.7563095974112</x:v>
      </x:c>
      <x:c r="J68" s="62" t="n">
        <x:f>(J59+J62)/2</x:f>
        <x:v>991.6018135231122</x:v>
      </x:c>
      <x:c r="K68" s="62" t="n">
        <x:f>(K59+K62)/2</x:f>
        <x:v>1102.9293427957107</x:v>
      </x:c>
      <x:c r="L68" s="62" t="n">
        <x:f>(L59+L62)/2</x:f>
        <x:v>1209.915098426678</x:v>
      </x:c>
      <x:c r="M68" s="62" t="n">
        <x:f>(M59+M62)/2</x:f>
        <x:v>1312.7284095880373</x:v>
      </x:c>
      <x:c r="N68" s="62" t="n">
        <x:f>(N59+N62)/2</x:f>
        <x:v>1411.5320016141038</x:v>
      </x:c>
    </x:row>
    <x:row r="69">
      <x:c r="B69" t="str">
        <x:v>Average paid customers</x:v>
      </x:c>
      <x:c r="C69" s="62" t="n">
        <x:f>(C63+C67)/2</x:f>
        <x:v>0.75</x:v>
      </x:c>
      <x:c r="D69" s="62" t="n">
        <x:f>(D63+D67)/2</x:f>
        <x:v>5.158125000000001</x:v>
      </x:c>
      <x:c r="E69" s="62" t="n">
        <x:f>(E63+E67)/2</x:f>
        <x:v>15.202992187500001</x:v>
      </x:c>
      <x:c r="F69" s="62" t="n">
        <x:f>(F63+F67)/2</x:f>
        <x:v>30.534073788281248</x:v>
      </x:c>
      <x:c r="G69" s="62" t="n">
        <x:f>(G63+G67)/2</x:f>
        <x:v>50.81745324496992</x:v>
      </x:c>
      <x:c r="H69" s="62" t="n">
        <x:f>(H63+H67)/2</x:f>
        <x:v>75.73511121532302</x:v>
      </x:c>
      <x:c r="I69" s="62" t="n">
        <x:f>(I63+I67)/2</x:f>
        <x:v>104.98424090527692</x:v>
      </x:c>
      <x:c r="J69" s="62" t="n">
        <x:f>(J63+J67)/2</x:f>
        <x:v>138.27659155920725</x:v>
      </x:c>
      <x:c r="K69" s="62" t="n">
        <x:f>(K63+K67)/2</x:f>
        <x:v>175.33783897652643</x:v>
      </x:c>
      <x:c r="L69" s="62" t="n">
        <x:f>(L63+L67)/2</x:f>
        <x:v>215.90698196858733</x:v>
      </x:c>
      <x:c r="M69" s="62" t="n">
        <x:f>(M63+M67)/2</x:f>
        <x:v>259.7357637129345</x:v>
      </x:c>
      <x:c r="N69" s="62" t="n">
        <x:f>(N63+N67)/2</x:f>
        <x:v>306.58811700332694</x:v>
      </x:c>
    </x:row>
    <x:row r="70">
      <x:c r="B70" t="str">
        <x:v>Effective monthly ARPU</x:v>
      </x:c>
      <x:c r="C70" s="63" t="n">
        <x:f>IF('Inputs'!$B$11&gt;0,'Inputs'!$B$11,'Pricing'!$B$20)*'Scenarios'!$F$7</x:f>
        <x:v>26400.000000000004</x:v>
      </x:c>
      <x:c r="D70" s="63" t="n">
        <x:f>IF('Inputs'!$B$11&gt;0,'Inputs'!$B$11,'Pricing'!$B$20)*'Scenarios'!$F$7</x:f>
        <x:v>26400.000000000004</x:v>
      </x:c>
      <x:c r="E70" s="63" t="n">
        <x:f>IF('Inputs'!$B$11&gt;0,'Inputs'!$B$11,'Pricing'!$B$20)*'Scenarios'!$F$7</x:f>
        <x:v>26400.000000000004</x:v>
      </x:c>
      <x:c r="F70" s="63" t="n">
        <x:f>IF('Inputs'!$B$11&gt;0,'Inputs'!$B$11,'Pricing'!$B$20)*'Scenarios'!$F$7</x:f>
        <x:v>26400.000000000004</x:v>
      </x:c>
      <x:c r="G70" s="63" t="n">
        <x:f>IF('Inputs'!$B$11&gt;0,'Inputs'!$B$11,'Pricing'!$B$20)*'Scenarios'!$F$7</x:f>
        <x:v>26400.000000000004</x:v>
      </x:c>
      <x:c r="H70" s="63" t="n">
        <x:f>IF('Inputs'!$B$11&gt;0,'Inputs'!$B$11,'Pricing'!$B$20)*'Scenarios'!$F$7</x:f>
        <x:v>26400.000000000004</x:v>
      </x:c>
      <x:c r="I70" s="63" t="n">
        <x:f>IF('Inputs'!$B$11&gt;0,'Inputs'!$B$11,'Pricing'!$B$20)*'Scenarios'!$F$7</x:f>
        <x:v>26400.000000000004</x:v>
      </x:c>
      <x:c r="J70" s="63" t="n">
        <x:f>IF('Inputs'!$B$11&gt;0,'Inputs'!$B$11,'Pricing'!$B$20)*'Scenarios'!$F$7</x:f>
        <x:v>26400.000000000004</x:v>
      </x:c>
      <x:c r="K70" s="63" t="n">
        <x:f>IF('Inputs'!$B$11&gt;0,'Inputs'!$B$11,'Pricing'!$B$20)*'Scenarios'!$F$7</x:f>
        <x:v>26400.000000000004</x:v>
      </x:c>
      <x:c r="L70" s="63" t="n">
        <x:f>IF('Inputs'!$B$11&gt;0,'Inputs'!$B$11,'Pricing'!$B$20)*'Scenarios'!$F$7</x:f>
        <x:v>26400.000000000004</x:v>
      </x:c>
      <x:c r="M70" s="63" t="n">
        <x:f>IF('Inputs'!$B$11&gt;0,'Inputs'!$B$11,'Pricing'!$B$20)*'Scenarios'!$F$7</x:f>
        <x:v>26400.000000000004</x:v>
      </x:c>
      <x:c r="N70" s="63" t="n">
        <x:f>IF('Inputs'!$B$11&gt;0,'Inputs'!$B$11,'Pricing'!$B$20)*'Scenarios'!$F$7</x:f>
        <x:v>26400.000000000004</x:v>
      </x:c>
    </x:row>
    <x:row r="71">
      <x:c r="B71" t="str">
        <x:v>Subscription revenue</x:v>
      </x:c>
      <x:c r="C71" s="63" t="n">
        <x:f>C69*C70</x:f>
        <x:v>19800.000000000004</x:v>
      </x:c>
      <x:c r="D71" s="63" t="n">
        <x:f>D69*D70</x:f>
        <x:v>136174.50000000006</x:v>
      </x:c>
      <x:c r="E71" s="63" t="n">
        <x:f>E69*E70</x:f>
        <x:v>401358.9937500001</x:v>
      </x:c>
      <x:c r="F71" s="63" t="n">
        <x:f>F69*F70</x:f>
        <x:v>806099.5480106251</x:v>
      </x:c>
      <x:c r="G71" s="63" t="n">
        <x:f>G69*G70</x:f>
        <x:v>1341580.7656672061</x:v>
      </x:c>
      <x:c r="H71" s="63" t="n">
        <x:f>H69*H70</x:f>
        <x:v>1999406.936084528</x:v>
      </x:c>
      <x:c r="I71" s="63" t="n">
        <x:f>I69*I70</x:f>
        <x:v>2771583.959899311</x:v>
      </x:c>
      <x:c r="J71" s="63" t="n">
        <x:f>J69*J70</x:f>
        <x:v>3650502.017163072</x:v>
      </x:c>
      <x:c r="K71" s="63" t="n">
        <x:f>K69*K70</x:f>
        <x:v>4628918.948980298</x:v>
      </x:c>
      <x:c r="L71" s="63" t="n">
        <x:f>L69*L70</x:f>
        <x:v>5699944.323970706</x:v>
      </x:c>
      <x:c r="M71" s="63" t="n">
        <x:f>M69*M70</x:f>
        <x:v>6857024.162021472</x:v>
      </x:c>
      <x:c r="N71" s="63" t="n">
        <x:f>N69*N70</x:f>
        <x:v>8093926.288887832</x:v>
      </x:c>
    </x:row>
    <x:row r="72">
      <x:c r="B72" t="str">
        <x:v>One-time revenue</x:v>
      </x:c>
      <x:c r="C72" s="63" t="n">
        <x:f>C65*'Inputs'!$B$16</x:f>
        <x:v>0</x:v>
      </x:c>
      <x:c r="D72" s="63" t="n">
        <x:f>D65*'Inputs'!$B$16</x:f>
        <x:v>0</x:v>
      </x:c>
      <x:c r="E72" s="63" t="n">
        <x:f>E65*'Inputs'!$B$16</x:f>
        <x:v>0</x:v>
      </x:c>
      <x:c r="F72" s="63" t="n">
        <x:f>F65*'Inputs'!$B$16</x:f>
        <x:v>0</x:v>
      </x:c>
      <x:c r="G72" s="63" t="n">
        <x:f>G65*'Inputs'!$B$16</x:f>
        <x:v>0</x:v>
      </x:c>
      <x:c r="H72" s="63" t="n">
        <x:f>H65*'Inputs'!$B$16</x:f>
        <x:v>0</x:v>
      </x:c>
      <x:c r="I72" s="63" t="n">
        <x:f>I65*'Inputs'!$B$16</x:f>
        <x:v>0</x:v>
      </x:c>
      <x:c r="J72" s="63" t="n">
        <x:f>J65*'Inputs'!$B$16</x:f>
        <x:v>0</x:v>
      </x:c>
      <x:c r="K72" s="63" t="n">
        <x:f>K65*'Inputs'!$B$16</x:f>
        <x:v>0</x:v>
      </x:c>
      <x:c r="L72" s="63" t="n">
        <x:f>L65*'Inputs'!$B$16</x:f>
        <x:v>0</x:v>
      </x:c>
      <x:c r="M72" s="63" t="n">
        <x:f>M65*'Inputs'!$B$16</x:f>
        <x:v>0</x:v>
      </x:c>
      <x:c r="N72" s="63" t="n">
        <x:f>N65*'Inputs'!$B$16</x:f>
        <x:v>0</x:v>
      </x:c>
    </x:row>
    <x:row r="73">
      <x:c r="B73" s="68" t="str">
        <x:v>Total revenue</x:v>
      </x:c>
      <x:c r="C73" s="69" t="n">
        <x:f>C71+C72</x:f>
        <x:v>19800.000000000004</x:v>
      </x:c>
      <x:c r="D73" s="69" t="n">
        <x:f>D71+D72</x:f>
        <x:v>136174.50000000006</x:v>
      </x:c>
      <x:c r="E73" s="69" t="n">
        <x:f>E71+E72</x:f>
        <x:v>401358.9937500001</x:v>
      </x:c>
      <x:c r="F73" s="69" t="n">
        <x:f>F71+F72</x:f>
        <x:v>806099.5480106251</x:v>
      </x:c>
      <x:c r="G73" s="69" t="n">
        <x:f>G71+G72</x:f>
        <x:v>1341580.7656672061</x:v>
      </x:c>
      <x:c r="H73" s="69" t="n">
        <x:f>H71+H72</x:f>
        <x:v>1999406.936084528</x:v>
      </x:c>
      <x:c r="I73" s="69" t="n">
        <x:f>I71+I72</x:f>
        <x:v>2771583.959899311</x:v>
      </x:c>
      <x:c r="J73" s="69" t="n">
        <x:f>J71+J72</x:f>
        <x:v>3650502.017163072</x:v>
      </x:c>
      <x:c r="K73" s="69" t="n">
        <x:f>K71+K72</x:f>
        <x:v>4628918.948980298</x:v>
      </x:c>
      <x:c r="L73" s="69" t="n">
        <x:f>L71+L72</x:f>
        <x:v>5699944.323970706</x:v>
      </x:c>
      <x:c r="M73" s="69" t="n">
        <x:f>M71+M72</x:f>
        <x:v>6857024.162021472</x:v>
      </x:c>
      <x:c r="N73" s="69" t="n">
        <x:f>N71+N72</x:f>
        <x:v>8093926.288887832</x:v>
      </x:c>
    </x:row>
    <x:row r="74">
      <x:c r="B74" t="str">
        <x:v>Paid variable cost</x:v>
      </x:c>
      <x:c r="C74" s="63" t="n">
        <x:f>C69*'Inputs'!$B$12*'Scenarios'!$G$7</x:f>
        <x:v>1687.5</x:v>
      </x:c>
      <x:c r="D74" s="63" t="n">
        <x:f>D69*'Inputs'!$B$12*'Scenarios'!$G$7</x:f>
        <x:v>11605.781250000002</x:v>
      </x:c>
      <x:c r="E74" s="63" t="n">
        <x:f>E69*'Inputs'!$B$12*'Scenarios'!$G$7</x:f>
        <x:v>34206.732421875</x:v>
      </x:c>
      <x:c r="F74" s="63" t="n">
        <x:f>F69*'Inputs'!$B$12*'Scenarios'!$G$7</x:f>
        <x:v>68701.6660236328</x:v>
      </x:c>
      <x:c r="G74" s="63" t="n">
        <x:f>G69*'Inputs'!$B$12*'Scenarios'!$G$7</x:f>
        <x:v>114339.26980118232</x:v>
      </x:c>
      <x:c r="H74" s="63" t="n">
        <x:f>H69*'Inputs'!$B$12*'Scenarios'!$G$7</x:f>
        <x:v>170404.00023447679</x:v>
      </x:c>
      <x:c r="I74" s="63" t="n">
        <x:f>I69*'Inputs'!$B$12*'Scenarios'!$G$7</x:f>
        <x:v>236214.54203687308</x:v>
      </x:c>
      <x:c r="J74" s="63" t="n">
        <x:f>J69*'Inputs'!$B$12*'Scenarios'!$G$7</x:f>
        <x:v>311122.3310082163</x:v>
      </x:c>
      <x:c r="K74" s="63" t="n">
        <x:f>K69*'Inputs'!$B$12*'Scenarios'!$G$7</x:f>
        <x:v>394510.13769718446</x:v>
      </x:c>
      <x:c r="L74" s="63" t="n">
        <x:f>L69*'Inputs'!$B$12*'Scenarios'!$G$7</x:f>
        <x:v>485790.70942932146</x:v>
      </x:c>
      <x:c r="M74" s="63" t="n">
        <x:f>M69*'Inputs'!$B$12*'Scenarios'!$G$7</x:f>
        <x:v>584405.4683541027</x:v>
      </x:c>
      <x:c r="N74" s="63" t="n">
        <x:f>N69*'Inputs'!$B$12*'Scenarios'!$G$7</x:f>
        <x:v>689823.2632574857</x:v>
      </x:c>
    </x:row>
    <x:row r="75">
      <x:c r="B75" t="str">
        <x:v>Free variable cost</x:v>
      </x:c>
      <x:c r="C75" s="63" t="n">
        <x:f>C68*'Inputs'!$B$13*'Scenarios'!$G$7</x:f>
        <x:v>3375</x:v>
      </x:c>
      <x:c r="D75" s="63" t="n">
        <x:f>D68*'Inputs'!$B$13*'Scenarios'!$G$7</x:f>
        <x:v>9993.375</x:v>
      </x:c>
      <x:c r="E75" s="63" t="n">
        <x:f>E68*'Inputs'!$B$13*'Scenarios'!$G$7</x:f>
        <x:v>16353.633374999998</x:v>
      </x:c>
      <x:c r="F75" s="63" t="n">
        <x:f>F68*'Inputs'!$B$13*'Scenarios'!$G$7</x:f>
        <x:v>22465.841673375</x:v>
      </x:c>
      <x:c r="G75" s="63" t="n">
        <x:f>G68*'Inputs'!$B$13*'Scenarios'!$G$7</x:f>
        <x:v>28339.673848113373</x:v>
      </x:c>
      <x:c r="H75" s="63" t="n">
        <x:f>H68*'Inputs'!$B$13*'Scenarios'!$G$7</x:f>
        <x:v>33984.42656803695</x:v>
      </x:c>
      <x:c r="I75" s="63" t="n">
        <x:f>I68*'Inputs'!$B$13*'Scenarios'!$G$7</x:f>
        <x:v>39409.03393188351</x:v>
      </x:c>
      <x:c r="J75" s="63" t="n">
        <x:f>J68*'Inputs'!$B$13*'Scenarios'!$G$7</x:f>
        <x:v>44622.08160854005</x:v>
      </x:c>
      <x:c r="K75" s="63" t="n">
        <x:f>K68*'Inputs'!$B$13*'Scenarios'!$G$7</x:f>
        <x:v>49631.82042580698</x:v>
      </x:c>
      <x:c r="L75" s="63" t="n">
        <x:f>L68*'Inputs'!$B$13*'Scenarios'!$G$7</x:f>
        <x:v>54446.179429200514</x:v>
      </x:c>
      <x:c r="M75" s="63" t="n">
        <x:f>M68*'Inputs'!$B$13*'Scenarios'!$G$7</x:f>
        <x:v>59072.77843146167</x:v>
      </x:c>
      <x:c r="N75" s="63" t="n">
        <x:f>N68*'Inputs'!$B$13*'Scenarios'!$G$7</x:f>
        <x:v>63518.94007263467</x:v>
      </x:c>
    </x:row>
    <x:row r="76">
      <x:c r="B76" t="str">
        <x:v>Fixed cost</x:v>
      </x:c>
      <x:c r="C76" s="63" t="n">
        <x:f>'Inputs'!$B$14*'Scenarios'!$H$7</x:f>
        <x:v>1500000</x:v>
      </x:c>
      <x:c r="D76" s="63" t="n">
        <x:f>'Inputs'!$B$14*'Scenarios'!$H$7</x:f>
        <x:v>1500000</x:v>
      </x:c>
      <x:c r="E76" s="63" t="n">
        <x:f>'Inputs'!$B$14*'Scenarios'!$H$7</x:f>
        <x:v>1500000</x:v>
      </x:c>
      <x:c r="F76" s="63" t="n">
        <x:f>'Inputs'!$B$14*'Scenarios'!$H$7</x:f>
        <x:v>1500000</x:v>
      </x:c>
      <x:c r="G76" s="63" t="n">
        <x:f>'Inputs'!$B$14*'Scenarios'!$H$7</x:f>
        <x:v>1500000</x:v>
      </x:c>
      <x:c r="H76" s="63" t="n">
        <x:f>'Inputs'!$B$14*'Scenarios'!$H$7</x:f>
        <x:v>1500000</x:v>
      </x:c>
      <x:c r="I76" s="63" t="n">
        <x:f>'Inputs'!$B$14*'Scenarios'!$H$7</x:f>
        <x:v>1500000</x:v>
      </x:c>
      <x:c r="J76" s="63" t="n">
        <x:f>'Inputs'!$B$14*'Scenarios'!$H$7</x:f>
        <x:v>1500000</x:v>
      </x:c>
      <x:c r="K76" s="63" t="n">
        <x:f>'Inputs'!$B$14*'Scenarios'!$H$7</x:f>
        <x:v>1500000</x:v>
      </x:c>
      <x:c r="L76" s="63" t="n">
        <x:f>'Inputs'!$B$14*'Scenarios'!$H$7</x:f>
        <x:v>1500000</x:v>
      </x:c>
      <x:c r="M76" s="63" t="n">
        <x:f>'Inputs'!$B$14*'Scenarios'!$H$7</x:f>
        <x:v>1500000</x:v>
      </x:c>
      <x:c r="N76" s="63" t="n">
        <x:f>'Inputs'!$B$14*'Scenarios'!$H$7</x:f>
        <x:v>1500000</x:v>
      </x:c>
    </x:row>
    <x:row r="77">
      <x:c r="B77" t="str">
        <x:v>Acquisition spend</x:v>
      </x:c>
      <x:c r="C77" s="63" t="n">
        <x:f>'Inputs'!$B$15*'Scenarios'!$I$7</x:f>
        <x:v>325000</x:v>
      </x:c>
      <x:c r="D77" s="63" t="n">
        <x:f>'Inputs'!$B$15*'Scenarios'!$I$7</x:f>
        <x:v>325000</x:v>
      </x:c>
      <x:c r="E77" s="63" t="n">
        <x:f>'Inputs'!$B$15*'Scenarios'!$I$7</x:f>
        <x:v>325000</x:v>
      </x:c>
      <x:c r="F77" s="63" t="n">
        <x:f>'Inputs'!$B$15*'Scenarios'!$I$7</x:f>
        <x:v>325000</x:v>
      </x:c>
      <x:c r="G77" s="63" t="n">
        <x:f>'Inputs'!$B$15*'Scenarios'!$I$7</x:f>
        <x:v>325000</x:v>
      </x:c>
      <x:c r="H77" s="63" t="n">
        <x:f>'Inputs'!$B$15*'Scenarios'!$I$7</x:f>
        <x:v>325000</x:v>
      </x:c>
      <x:c r="I77" s="63" t="n">
        <x:f>'Inputs'!$B$15*'Scenarios'!$I$7</x:f>
        <x:v>325000</x:v>
      </x:c>
      <x:c r="J77" s="63" t="n">
        <x:f>'Inputs'!$B$15*'Scenarios'!$I$7</x:f>
        <x:v>325000</x:v>
      </x:c>
      <x:c r="K77" s="63" t="n">
        <x:f>'Inputs'!$B$15*'Scenarios'!$I$7</x:f>
        <x:v>325000</x:v>
      </x:c>
      <x:c r="L77" s="63" t="n">
        <x:f>'Inputs'!$B$15*'Scenarios'!$I$7</x:f>
        <x:v>325000</x:v>
      </x:c>
      <x:c r="M77" s="63" t="n">
        <x:f>'Inputs'!$B$15*'Scenarios'!$I$7</x:f>
        <x:v>325000</x:v>
      </x:c>
      <x:c r="N77" s="63" t="n">
        <x:f>'Inputs'!$B$15*'Scenarios'!$I$7</x:f>
        <x:v>325000</x:v>
      </x:c>
    </x:row>
    <x:row r="78">
      <x:c r="B78" t="str">
        <x:v>Total cost</x:v>
      </x:c>
      <x:c r="C78" s="63" t="n">
        <x:f>SUM(C74:C77)</x:f>
        <x:v>1830062.5</x:v>
      </x:c>
      <x:c r="D78" s="63" t="n">
        <x:f>SUM(D74:D77)</x:f>
        <x:v>1846599.15625</x:v>
      </x:c>
      <x:c r="E78" s="63" t="n">
        <x:f>SUM(E74:E77)</x:f>
        <x:v>1875560.365796875</x:v>
      </x:c>
      <x:c r="F78" s="63" t="n">
        <x:f>SUM(F74:F77)</x:f>
        <x:v>1916167.5076970079</x:v>
      </x:c>
      <x:c r="G78" s="63" t="n">
        <x:f>SUM(G74:G77)</x:f>
        <x:v>1967678.9436492957</x:v>
      </x:c>
      <x:c r="H78" s="63" t="n">
        <x:f>SUM(H74:H77)</x:f>
        <x:v>2029388.4268025137</x:v>
      </x:c>
      <x:c r="I78" s="63" t="n">
        <x:f>SUM(I74:I77)</x:f>
        <x:v>2100623.5759687563</x:v>
      </x:c>
      <x:c r="J78" s="63" t="n">
        <x:f>SUM(J74:J77)</x:f>
        <x:v>2180744.4126167563</x:v>
      </x:c>
      <x:c r="K78" s="63" t="n">
        <x:f>SUM(K74:K77)</x:f>
        <x:v>2269141.9581229915</x:v>
      </x:c>
      <x:c r="L78" s="63" t="n">
        <x:f>SUM(L74:L77)</x:f>
        <x:v>2365236.888858522</x:v>
      </x:c>
      <x:c r="M78" s="63" t="n">
        <x:f>SUM(M74:M77)</x:f>
        <x:v>2468478.2467855643</x:v>
      </x:c>
      <x:c r="N78" s="63" t="n">
        <x:f>SUM(N74:N77)</x:f>
        <x:v>2578342.2033301205</x:v>
      </x:c>
    </x:row>
    <x:row r="79">
      <x:c r="B79" s="74" t="str">
        <x:v>Operating profit</x:v>
      </x:c>
      <x:c r="C79" s="75" t="n">
        <x:f>C73-C78</x:f>
        <x:v>-1810262.5</x:v>
      </x:c>
      <x:c r="D79" s="75" t="n">
        <x:f>D73-D78</x:f>
        <x:v>-1710424.65625</x:v>
      </x:c>
      <x:c r="E79" s="75" t="n">
        <x:f>E73-E78</x:f>
        <x:v>-1474201.3720468748</x:v>
      </x:c>
      <x:c r="F79" s="75" t="n">
        <x:f>F73-F78</x:f>
        <x:v>-1110067.9596863827</x:v>
      </x:c>
      <x:c r="G79" s="75" t="n">
        <x:f>G73-G78</x:f>
        <x:v>-626098.1779820896</x:v>
      </x:c>
      <x:c r="H79" s="75" t="n">
        <x:f>H73-H78</x:f>
        <x:v>-29981.490717985667</x:v>
      </x:c>
      <x:c r="I79" s="75" t="n">
        <x:f>I73-I78</x:f>
        <x:v>670960.3839305546</x:v>
      </x:c>
      <x:c r="J79" s="75" t="n">
        <x:f>J73-J78</x:f>
        <x:v>1469757.6045463155</x:v>
      </x:c>
      <x:c r="K79" s="75" t="n">
        <x:f>K73-K78</x:f>
        <x:v>2359776.9908573064</x:v>
      </x:c>
      <x:c r="L79" s="75" t="n">
        <x:f>L73-L78</x:f>
        <x:v>3334707.4351121844</x:v>
      </x:c>
      <x:c r="M79" s="75" t="n">
        <x:f>M73-M78</x:f>
        <x:v>4388545.915235908</x:v>
      </x:c>
      <x:c r="N79" s="75" t="n">
        <x:f>N73-N78</x:f>
        <x:v>5515584.085557712</x:v>
      </x:c>
    </x:row>
    <x:row r="80">
      <x:c r="B80" t="str">
        <x:v>Ending cash</x:v>
      </x:c>
      <x:c r="C80" s="63" t="n">
        <x:f>'Inputs'!$B$17+C79</x:f>
        <x:v>8189737.5</x:v>
      </x:c>
      <x:c r="D80" s="63" t="n">
        <x:f>C80+D79</x:f>
        <x:v>6479312.84375</x:v>
      </x:c>
      <x:c r="E80" s="63" t="n">
        <x:f>D80+E79</x:f>
        <x:v>5005111.471703125</x:v>
      </x:c>
      <x:c r="F80" s="63" t="n">
        <x:f>E80+F79</x:f>
        <x:v>3895043.5120167425</x:v>
      </x:c>
      <x:c r="G80" s="63" t="n">
        <x:f>F80+G79</x:f>
        <x:v>3268945.334034653</x:v>
      </x:c>
      <x:c r="H80" s="63" t="n">
        <x:f>G80+H79</x:f>
        <x:v>3238963.8433166672</x:v>
      </x:c>
      <x:c r="I80" s="63" t="n">
        <x:f>H80+I79</x:f>
        <x:v>3909924.227247222</x:v>
      </x:c>
      <x:c r="J80" s="63" t="n">
        <x:f>I80+J79</x:f>
        <x:v>5379681.831793537</x:v>
      </x:c>
      <x:c r="K80" s="63" t="n">
        <x:f>J80+K79</x:f>
        <x:v>7739458.822650844</x:v>
      </x:c>
      <x:c r="L80" s="63" t="n">
        <x:f>K80+L79</x:f>
        <x:v>11074166.257763028</x:v>
      </x:c>
      <x:c r="M80" s="63" t="n">
        <x:f>L80+M79</x:f>
        <x:v>15462712.172998935</x:v>
      </x:c>
      <x:c r="N80" s="63" t="n">
        <x:f>M80+N79</x:f>
        <x:v>20978296.25855665</x:v>
      </x:c>
    </x:row>
  </x:sheetData>
  <x:mergeCells>
    <x:mergeCell ref="A1:N1"/>
    <x:mergeCell ref="A2:N2"/>
    <x:mergeCell ref="A5:N5"/>
    <x:mergeCell ref="A31:N31"/>
    <x:mergeCell ref="A57:N5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21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Unit Economics</x:v>
      </x:c>
      <x:c r="B1" s="3"/>
      <x:c r="C1" s="3"/>
      <x:c r="D1" s="3"/>
      <x:c r="E1" s="3"/>
      <x:c r="F1" s="3"/>
      <x:c r="G1" s="3"/>
      <x:c r="H1" s="3"/>
    </x:row>
    <x:row r="2" ht="26" customHeight="1">
      <x:c r="A2" s="7" t="str">
        <x:v>Formula-driven economics for conservative, base, and optimistic scenarios.</x:v>
      </x:c>
      <x:c r="B2" s="7"/>
      <x:c r="C2" s="7"/>
      <x:c r="D2" s="7"/>
      <x:c r="E2" s="7"/>
      <x:c r="F2" s="7"/>
      <x:c r="G2" s="7"/>
      <x:c r="H2" s="7"/>
    </x:row>
    <x:row r="4">
      <x:c r="A4" s="16" t="str">
        <x:v>Scenario</x:v>
      </x:c>
      <x:c r="B4" s="17" t="str">
        <x:v>ARPU</x:v>
      </x:c>
      <x:c r="C4" s="17" t="str">
        <x:v>Contribution / paid</x:v>
      </x:c>
      <x:c r="D4" s="17" t="str">
        <x:v>Contribution margin</x:v>
      </x:c>
      <x:c r="E4" s="17" t="str">
        <x:v>Blended CAC</x:v>
      </x:c>
      <x:c r="F4" s="17" t="str">
        <x:v>CAC payback</x:v>
      </x:c>
      <x:c r="G4" s="17" t="str">
        <x:v>Simplified LTV</x:v>
      </x:c>
      <x:c r="H4" s="18" t="str">
        <x:v>Break-even paid</x:v>
      </x:c>
    </x:row>
    <x:row r="5">
      <x:c r="A5" t="str">
        <x:v>conservative</x:v>
      </x:c>
      <x:c r="B5" s="63" t="n">
        <x:f>'12-Month Forecast'!$C$18</x:f>
        <x:v>21600</x:v>
      </x:c>
      <x:c r="C5" s="63" t="n">
        <x:f>B5-'Inputs'!$B$12*'Scenarios'!$G$5</x:f>
        <x:v>18600</x:v>
      </x:c>
      <x:c r="D5" s="78" t="n">
        <x:f>IF(B5&gt;0,C5/B5,0)</x:f>
        <x:v>0.8611111111111112</x:v>
      </x:c>
      <x:c r="E5" s="63" t="n">
        <x:f>IF('12-Month Forecast'!$C$13&gt;0,'Inputs'!$B$15*'Scenarios'!$I$5/'12-Month Forecast'!$C$13,0)</x:f>
        <x:v>333333.3333333334</x:v>
      </x:c>
      <x:c r="F5" s="79" t="n">
        <x:f>IF(C5&gt;0,E5/C5,0)</x:f>
        <x:v>17.92114695340502</x:v>
      </x:c>
      <x:c r="G5" s="63" t="n">
        <x:f>IF('Inputs'!$B$10*'Scenarios'!$E$5&gt;0,C5/('Inputs'!$B$10*'Scenarios'!$E$5),0)</x:f>
        <x:v>442857.1428571429</x:v>
      </x:c>
      <x:c r="H5" s="62" t="n">
        <x:f>IF(C5&gt;0,'Inputs'!$B$14*'Scenarios'!$H$5/C5,0)</x:f>
        <x:v>88.70967741935485</x:v>
      </x:c>
    </x:row>
    <x:row r="6">
      <x:c r="A6" t="str">
        <x:v>base</x:v>
      </x:c>
      <x:c r="B6" s="63" t="n">
        <x:f>'12-Month Forecast'!$C$44</x:f>
        <x:v>24000</x:v>
      </x:c>
      <x:c r="C6" s="63" t="n">
        <x:f>B6-'Inputs'!$B$12*'Scenarios'!$G$6</x:f>
        <x:v>21500</x:v>
      </x:c>
      <x:c r="D6" s="78" t="n">
        <x:f>IF(B6&gt;0,C6/B6,0)</x:f>
        <x:v>0.8958333333333334</x:v>
      </x:c>
      <x:c r="E6" s="63" t="n">
        <x:f>IF('12-Month Forecast'!$C$39&gt;0,'Inputs'!$B$15*'Scenarios'!$I$6/'12-Month Forecast'!$C$39,0)</x:f>
        <x:v>250000</x:v>
      </x:c>
      <x:c r="F6" s="79" t="n">
        <x:f>IF(C6&gt;0,E6/C6,0)</x:f>
        <x:v>11.627906976744185</x:v>
      </x:c>
      <x:c r="G6" s="63" t="n">
        <x:f>IF('Inputs'!$B$10*'Scenarios'!$E$6&gt;0,C6/('Inputs'!$B$10*'Scenarios'!$E$6),0)</x:f>
        <x:v>716666.6666666667</x:v>
      </x:c>
      <x:c r="H6" s="62" t="n">
        <x:f>IF(C6&gt;0,'Inputs'!$B$14*'Scenarios'!$H$6/C6,0)</x:f>
        <x:v>69.76744186046511</x:v>
      </x:c>
    </x:row>
    <x:row r="7">
      <x:c r="A7" t="str">
        <x:v>optimistic</x:v>
      </x:c>
      <x:c r="B7" s="63" t="n">
        <x:f>'12-Month Forecast'!$C$70</x:f>
        <x:v>26400.000000000004</x:v>
      </x:c>
      <x:c r="C7" s="63" t="n">
        <x:f>B7-'Inputs'!$B$12*'Scenarios'!$G$7</x:f>
        <x:v>24150.000000000004</x:v>
      </x:c>
      <x:c r="D7" s="78" t="n">
        <x:f>IF(B7&gt;0,C7/B7,0)</x:f>
        <x:v>0.9147727272727273</x:v>
      </x:c>
      <x:c r="E7" s="63" t="n">
        <x:f>IF('12-Month Forecast'!$C$65&gt;0,'Inputs'!$B$15*'Scenarios'!$I$7/'12-Month Forecast'!$C$65,0)</x:f>
        <x:v>216666.66666666666</x:v>
      </x:c>
      <x:c r="F7" s="79" t="n">
        <x:f>IF(C7&gt;0,E7/C7,0)</x:f>
        <x:v>8.971704623878535</x:v>
      </x:c>
      <x:c r="G7" s="63" t="n">
        <x:f>IF('Inputs'!$B$10*'Scenarios'!$E$7&gt;0,C7/('Inputs'!$B$10*'Scenarios'!$E$7),0)</x:f>
        <x:v>1073333.3333333335</x:v>
      </x:c>
      <x:c r="H7" s="62" t="n">
        <x:f>IF(C7&gt;0,'Inputs'!$B$14*'Scenarios'!$H$7/C7,0)</x:f>
        <x:v>62.11180124223601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3" hidden="0" customWidth="1"/>
    <x:col min="4" max="4" width="48" hidden="0" customWidth="1"/>
    <x:col min="5" max="5" width="54" hidden="0" customWidth="1"/>
    <x:col min="6" max="6" width="18" hidden="0" customWidth="1"/>
  </x:cols>
  <x:sheetData>
    <x:row r="1" ht="32" customHeight="1">
      <x:c r="A1" s="89" t="str">
        <x:v>Sources &amp; Assumptions</x:v>
      </x:c>
      <x:c r="B1" s="89"/>
      <x:c r="C1" s="89"/>
      <x:c r="D1" s="89"/>
      <x:c r="E1" s="89"/>
      <x:c r="F1" s="89"/>
    </x:row>
    <x:row r="2" ht="26" customHeight="1">
      <x:c r="A2" s="7" t="str">
        <x:v>Audit trail for public evidence, assumptions, and limitations.</x:v>
      </x:c>
      <x:c r="B2" s="7"/>
      <x:c r="C2" s="7"/>
      <x:c r="D2" s="7"/>
      <x:c r="E2" s="7"/>
      <x:c r="F2" s="7"/>
    </x:row>
    <x:row r="3">
      <x:c r="A3" s="48"/>
      <x:c r="B3" s="48"/>
      <x:c r="C3" s="48"/>
      <x:c r="D3" s="48"/>
      <x:c r="E3" s="48"/>
      <x:c r="F3" s="48"/>
    </x:row>
    <x:row r="4">
      <x:c r="A4" s="16" t="str">
        <x:v>Title</x:v>
      </x:c>
      <x:c r="B4" s="17" t="str">
        <x:v>Kind</x:v>
      </x:c>
      <x:c r="C4" s="17" t="str">
        <x:v>Checked</x:v>
      </x:c>
      <x:c r="D4" s="17" t="str">
        <x:v>URL</x:v>
      </x:c>
      <x:c r="E4" s="17" t="str">
        <x:v>Note</x:v>
      </x:c>
      <x:c r="F4" s="18" t="str">
        <x:v>Role</x:v>
      </x:c>
    </x:row>
    <x:row r="5">
      <x:c r="A5" s="48" t="str">
        <x:v>Sarvam AI homepage</x:v>
      </x:c>
      <x:c r="B5" s="48" t="str">
        <x:v>product</x:v>
      </x:c>
      <x:c r="C5" s="48" t="str">
        <x:v>2026-08-09</x:v>
      </x:c>
      <x:c r="D5" s="48" t="str">
        <x:v>https://www.sarvam.ai</x:v>
      </x:c>
      <x:c r="E5" s="48" t="str">
        <x:v>Company positioning and product surface.</x:v>
      </x:c>
      <x:c r="F5" s="48" t="str">
        <x:v>Public evidence</x:v>
      </x:c>
    </x:row>
    <x:row r="6">
      <x:c r="A6" s="48" t="str">
        <x:v>Sarvam API pricing</x:v>
      </x:c>
      <x:c r="B6" s="48" t="str">
        <x:v>product</x:v>
      </x:c>
      <x:c r="C6" s="48" t="str">
        <x:v>2026-08-09</x:v>
      </x:c>
      <x:c r="D6" s="48" t="str">
        <x:v>https://www.sarvam.ai/api-pricing</x:v>
      </x:c>
      <x:c r="E6" s="48" t="str">
        <x:v>Public INR usage prices, credits, plan packaging, support, and rate limits.</x:v>
      </x:c>
      <x:c r="F6" s="48" t="str">
        <x:v>Public evidence</x:v>
      </x:c>
    </x:row>
    <x:row r="7">
      <x:c r="A7" s="48" t="str">
        <x:v>Sarvam API docs welcome</x:v>
      </x:c>
      <x:c r="B7" s="48" t="str">
        <x:v>product</x:v>
      </x:c>
      <x:c r="C7" s="48" t="str">
        <x:v>2026-08-09</x:v>
      </x:c>
      <x:c r="D7" s="48" t="str">
        <x:v>https://docs.sarvam.ai/api/getting-started/welcome</x:v>
      </x:c>
      <x:c r="E7" s="48" t="str">
        <x:v>API categories, quickstart, SDKs, and Indian-language positioning.</x:v>
      </x:c>
      <x:c r="F7" s="48" t="str">
        <x:v>Public evidence</x:v>
      </x:c>
    </x:row>
    <x:row r="8">
      <x:c r="A8" s="48" t="str">
        <x:v>Sarvam credits and rate limits</x:v>
      </x:c>
      <x:c r="B8" s="48" t="str">
        <x:v>product</x:v>
      </x:c>
      <x:c r="C8" s="48" t="str">
        <x:v>2026-08-09</x:v>
      </x:c>
      <x:c r="D8" s="48" t="str">
        <x:v>https://docs.sarvam.ai/api/getting-started/ratelimits</x:v>
      </x:c>
      <x:c r="E8" s="48" t="str">
        <x:v>Signup credits and plan/rate-limit documentation.</x:v>
      </x:c>
      <x:c r="F8" s="48" t="str">
        <x:v>Public evidence</x:v>
      </x:c>
    </x:row>
    <x:row r="9">
      <x:c r="A9" s="48" t="str">
        <x:v>Sarvam Doc AI overview</x:v>
      </x:c>
      <x:c r="B9" s="48" t="str">
        <x:v>product</x:v>
      </x:c>
      <x:c r="C9" s="48" t="str">
        <x:v>2026-08-09</x:v>
      </x:c>
      <x:c r="D9" s="48" t="str">
        <x:v>https://docs.sarvam.ai/docai/getting-started/overview</x:v>
      </x:c>
      <x:c r="E9" s="48" t="str">
        <x:v>Document use cases and workflows.</x:v>
      </x:c>
      <x:c r="F9" s="48" t="str">
        <x:v>Public evidence</x:v>
      </x:c>
    </x:row>
    <x:row r="10">
      <x:c r="A10" s="48" t="str">
        <x:v>Sarvam EULA</x:v>
      </x:c>
      <x:c r="B10" s="48" t="str">
        <x:v>other</x:v>
      </x:c>
      <x:c r="C10" s="48" t="str">
        <x:v>2026-08-09</x:v>
      </x:c>
      <x:c r="D10" s="48" t="str">
        <x:v>https://www.sarvam.ai/eula</x:v>
      </x:c>
      <x:c r="E10" s="48" t="str">
        <x:v>Production license and deployment context.</x:v>
      </x:c>
      <x:c r="F10" s="48" t="str">
        <x:v>Public evidence</x:v>
      </x:c>
    </x:row>
    <x:row r="11">
      <x:c r="A11" s="48" t="str">
        <x:v>Google Cloud Speech-to-Text pricing</x:v>
      </x:c>
      <x:c r="B11" s="48" t="str">
        <x:v>market</x:v>
      </x:c>
      <x:c r="C11" s="48" t="str">
        <x:v>2026-08-09</x:v>
      </x:c>
      <x:c r="D11" s="48" t="str">
        <x:v>https://cloud.google.com/speech-to-text/pricing</x:v>
      </x:c>
      <x:c r="E11" s="48" t="str">
        <x:v>Official per-minute and dynamic-batch pricing; US list-price anchor.</x:v>
      </x:c>
      <x:c r="F11" s="48" t="str">
        <x:v>Public evidence</x:v>
      </x:c>
    </x:row>
    <x:row r="12">
      <x:c r="A12" s="48" t="str">
        <x:v>Amazon Transcribe pricing</x:v>
      </x:c>
      <x:c r="B12" s="48" t="str">
        <x:v>market</x:v>
      </x:c>
      <x:c r="C12" s="48" t="str">
        <x:v>2026-08-09</x:v>
      </x:c>
      <x:c r="D12" s="48" t="str">
        <x:v>https://aws.amazon.com/transcribe/pricing/</x:v>
      </x:c>
      <x:c r="E12" s="48" t="str">
        <x:v>Official usage billing and 60-minute free tier; region-specific rates.</x:v>
      </x:c>
      <x:c r="F12" s="48" t="str">
        <x:v>Public evidence</x:v>
      </x:c>
    </x:row>
    <x:row r="13">
      <x:c r="A13" s="48" t="str">
        <x:v>Deepgram pricing</x:v>
      </x:c>
      <x:c r="B13" s="48" t="str">
        <x:v>market</x:v>
      </x:c>
      <x:c r="C13" s="48" t="str">
        <x:v>2026-08-09</x:v>
      </x:c>
      <x:c r="D13" s="48" t="str">
        <x:v>https://deepgram.com/pricing</x:v>
      </x:c>
      <x:c r="E13" s="48" t="str">
        <x:v>Official speech API PAYG, credits, concurrency, and enterprise packaging.</x:v>
      </x:c>
      <x:c r="F13" s="48" t="str">
        <x:v>Public evidence</x:v>
      </x:c>
    </x:row>
    <x:row r="14">
      <x:c r="A14" s="48" t="str">
        <x:v>Azure Speech pricing</x:v>
      </x:c>
      <x:c r="B14" s="48" t="str">
        <x:v>market</x:v>
      </x:c>
      <x:c r="C14" s="48" t="str">
        <x:v>2026-08-09</x:v>
      </x:c>
      <x:c r="D14" s="48" t="str">
        <x:v>https://azure.microsoft.com/en-us/pricing/details/speech/</x:v>
      </x:c>
      <x:c r="E14" s="48" t="str">
        <x:v>Official speech service capabilities, free tier, and regional pricing caveats.</x:v>
      </x:c>
      <x:c r="F14" s="48" t="str">
        <x:v>Public evidence</x:v>
      </x:c>
    </x:row>
    <x:row r="15">
      <x:c r="A15" s="48" t="str">
        <x:v>Gemini API pricing</x:v>
      </x:c>
      <x:c r="B15" s="48" t="str">
        <x:v>market</x:v>
      </x:c>
      <x:c r="C15" s="48" t="str">
        <x:v>2026-08-09</x:v>
      </x:c>
      <x:c r="D15" s="48" t="str">
        <x:v>https://ai.google.dev/gemini-api/docs/pricing</x:v>
      </x:c>
      <x:c r="E15" s="48" t="str">
        <x:v>Official free/paid/enterprise packaging and token pricing.</x:v>
      </x:c>
      <x:c r="F15" s="48" t="str">
        <x:v>Public evidence</x:v>
      </x:c>
    </x:row>
    <x:row r="16">
      <x:c r="A16" s="48"/>
      <x:c r="B16" s="48"/>
      <x:c r="C16" s="48"/>
      <x:c r="D16" s="48"/>
      <x:c r="E16" s="48"/>
      <x:c r="F16" s="48"/>
    </x:row>
    <x:row r="17" ht="22" customHeight="1">
      <x:c r="A17" s="90" t="str">
        <x:v>Limitations</x:v>
      </x:c>
      <x:c r="B17" s="90"/>
      <x:c r="C17" s="90"/>
      <x:c r="D17" s="90"/>
      <x:c r="E17" s="90"/>
      <x:c r="F17" s="90"/>
    </x:row>
    <x:row r="18">
      <x:c r="A18" s="48" t="str">
        <x:v>No private customer, revenue, usage, CAC, churn, support, infrastructure, cash, or pipeline data was supplied or inspected.</x:v>
      </x:c>
      <x:c r="B18" s="48"/>
      <x:c r="C18" s="48"/>
      <x:c r="D18" s="48"/>
      <x:c r="E18" s="48"/>
      <x:c r="F18" s="48"/>
    </x:row>
    <x:row r="19">
      <x:c r="A19" s="48" t="str">
        <x:v>Market account counts are unknown; TAM/SAM/SOM should not be used until eligible account counts and annual revenue per account are sourced.</x:v>
      </x:c>
      <x:c r="B19" s="48"/>
      <x:c r="C19" s="48"/>
      <x:c r="D19" s="48"/>
      <x:c r="E19" s="48"/>
      <x:c r="F19" s="48"/>
    </x:row>
    <x:row r="20">
      <x:c r="A20" s="48" t="str">
        <x:v>Financial model assumptions are illustrative and must be replaced with cohort, usage, infra allocation, and approved budget data.</x:v>
      </x:c>
      <x:c r="B20" s="48"/>
      <x:c r="C20" s="48"/>
      <x:c r="D20" s="48"/>
      <x:c r="E20" s="48"/>
      <x:c r="F20" s="48"/>
    </x:row>
    <x:row r="21">
      <x:c r="A21" s="48" t="str">
        <x:v>Competitor prices vary by region, tier, model, channel count, batch mode, agreement, taxes, and currency; they are anchors, not willingness-to-pay evidence.</x:v>
      </x:c>
      <x:c r="B21" s="48"/>
      <x:c r="C21" s="48"/>
      <x:c r="D21" s="48"/>
      <x:c r="E21" s="48"/>
      <x:c r="F21" s="48"/>
    </x:row>
    <x:row r="22">
      <x:c r="A22" s="48" t="str">
        <x:v>Model excludes taxes, payment fees, refunds, credits/bonus-credit breakage, contracts, data-transfer, storage, compliance, and regional pricing effects unless measured in inputs.</x:v>
      </x:c>
      <x:c r="B22" s="48"/>
      <x:c r="C22" s="48"/>
      <x:c r="D22" s="48"/>
      <x:c r="E22" s="48"/>
      <x:c r="F22" s="48"/>
    </x:row>
    <x:row r="23">
      <x:c r="A23" s="48" t="str">
        <x:v>Public product and pricing pages can change; re-check before using the plan for a commercial decision.</x:v>
      </x:c>
      <x:c r="B23" s="48"/>
      <x:c r="C23" s="48"/>
      <x:c r="D23" s="48"/>
      <x:c r="E23" s="48"/>
      <x:c r="F23" s="48"/>
    </x:row>
    <x:row r="24">
      <x:c r="A24" s="48" t="str">
        <x:v>The report does not establish demand, profitability, product-market fit, or a guaranteed conversion rate.</x:v>
      </x:c>
      <x:c r="B24" s="48"/>
      <x:c r="C24" s="48"/>
      <x:c r="D24" s="48"/>
      <x:c r="E24" s="48"/>
      <x:c r="F24" s="48"/>
    </x:row>
  </x:sheetData>
  <x:mergeCells>
    <x:mergeCell ref="A1:F1"/>
    <x:mergeCell ref="A2:F2"/>
    <x:mergeCell ref="A17:F17"/>
    <x:mergeCell ref="A18:F18"/>
    <x:mergeCell ref="A19:F19"/>
    <x:mergeCell ref="A20:F20"/>
    <x:mergeCell ref="A21:F21"/>
    <x:mergeCell ref="A22:F22"/>
    <x:mergeCell ref="A23:F23"/>
    <x:mergeCell ref="A24:F2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54" hidden="0" customWidth="1"/>
  </x:cols>
  <x:sheetData>
    <x:row r="1" ht="32" customHeight="1">
      <x:c r="A1" s="3" t="str">
        <x:v>Model Checks</x:v>
      </x:c>
      <x:c r="B1" s="3"/>
      <x:c r="C1" s="3"/>
      <x:c r="D1" s="3"/>
      <x:c r="E1" s="3"/>
      <x:c r="F1" s="3"/>
    </x:row>
    <x:row r="2" ht="26" customHeight="1">
      <x:c r="A2" s="7" t="str">
        <x:v>Every check should show OK before the model is treated as decision-ready.</x:v>
      </x:c>
      <x:c r="B2" s="7"/>
      <x:c r="C2" s="7"/>
      <x:c r="D2" s="7"/>
      <x:c r="E2" s="7"/>
      <x:c r="F2" s="7"/>
    </x:row>
    <x:row r="4">
      <x:c r="A4" s="16" t="str">
        <x:v>Check</x:v>
      </x:c>
      <x:c r="B4" s="17" t="str">
        <x:v>Actual</x:v>
      </x:c>
      <x:c r="C4" s="17" t="str">
        <x:v>Expected</x:v>
      </x:c>
      <x:c r="D4" s="17" t="str">
        <x:v>Difference</x:v>
      </x:c>
      <x:c r="E4" s="17" t="str">
        <x:v>Status</x:v>
      </x:c>
      <x:c r="F4" s="18" t="str">
        <x:v>Fix hint</x:v>
      </x:c>
    </x:row>
    <x:row r="5">
      <x:c r="A5" t="str">
        <x:v>Paid tier mix</x:v>
      </x:c>
      <x:c r="B5" t="n">
        <x:f>SUM('Pricing'!$E$5:$E$8)</x:f>
        <x:v>1</x:v>
      </x:c>
      <x:c r="C5" t="n">
        <x:v>1</x:v>
      </x:c>
      <x:c r="D5" t="n">
        <x:f>B5-C5</x:f>
        <x:v>0</x:v>
      </x:c>
      <x:c r="E5" t="str">
        <x:f>IF(ABS(D5)&lt;0.01,"OK","CHECK")</x:f>
        <x:v>OK</x:v>
      </x:c>
      <x:c r="F5" s="48" t="str">
        <x:v>Set paid-tier mix to 100%.</x:v>
      </x:c>
    </x:row>
    <x:row r="6">
      <x:c r="A6" t="str">
        <x:v>Base scenario multiplier total</x:v>
      </x:c>
      <x:c r="B6" t="n">
        <x:f>SUM('Scenarios'!$B$6:$I$6)</x:f>
        <x:v>8</x:v>
      </x:c>
      <x:c r="C6" t="n">
        <x:v>8</x:v>
      </x:c>
      <x:c r="D6" t="n">
        <x:f>B6-C6</x:f>
        <x:v>0</x:v>
      </x:c>
      <x:c r="E6" t="str">
        <x:f>IF(ABS(D6)&lt;0.01,"OK","CHECK")</x:f>
        <x:v>OK</x:v>
      </x:c>
      <x:c r="F6" s="48" t="str">
        <x:v>Keep every base multiplier at 1.0.</x:v>
      </x:c>
    </x:row>
    <x:row r="7">
      <x:c r="A7" t="str">
        <x:v>Critical input completeness</x:v>
      </x:c>
      <x:c r="B7" t="n">
        <x:f>COUNT('Inputs'!$B$10,'Inputs'!$B$12,'Inputs'!$B$14,'Inputs'!$B$15)</x:f>
        <x:v>4</x:v>
      </x:c>
      <x:c r="C7" t="n">
        <x:v>4</x:v>
      </x:c>
      <x:c r="D7" t="n">
        <x:f>B7-C7</x:f>
        <x:v>0</x:v>
      </x:c>
      <x:c r="E7" t="str">
        <x:f>IF(ABS(D7)&lt;0.01,"OK","CHECK")</x:f>
        <x:v>OK</x:v>
      </x:c>
      <x:c r="F7" s="48" t="str">
        <x:v>Populate churn, paid variable cost, fixed cost, and acquisition spend.</x:v>
      </x:c>
    </x:row>
    <x:row r="8">
      <x:c r="A8" t="str">
        <x:v>Weighted ARPU positive</x:v>
      </x:c>
      <x:c r="B8" t="n">
        <x:f>IF('Pricing'!$B$20&gt;0,1,0)</x:f>
        <x:v>1</x:v>
      </x:c>
      <x:c r="C8" t="n">
        <x:v>1</x:v>
      </x:c>
      <x:c r="D8" t="n">
        <x:f>B8-C8</x:f>
        <x:v>0</x:v>
      </x:c>
      <x:c r="E8" t="str">
        <x:f>IF(ABS(D8)&lt;0.01,"OK","CHECK")</x:f>
        <x:v>OK</x:v>
      </x:c>
      <x:c r="F8" s="48" t="str">
        <x:v>Set at least one positive paid tier price.</x:v>
      </x:c>
    </x:row>
    <x:row r="9">
      <x:c r="A9" t="str">
        <x:v>Forecast output numeric</x:v>
      </x:c>
      <x:c r="B9" t="n">
        <x:f>IF(ISNUMBER('12-Month Forecast'!$N$53),1,0)</x:f>
        <x:v>1</x:v>
      </x:c>
      <x:c r="C9" t="n">
        <x:v>1</x:v>
      </x:c>
      <x:c r="D9" t="n">
        <x:f>B9-C9</x:f>
        <x:v>0</x:v>
      </x:c>
      <x:c r="E9" t="str">
        <x:f>IF(ABS(D9)&lt;0.01,"OK","CHECK")</x:f>
        <x:v>OK</x:v>
      </x:c>
      <x:c r="F9" s="48" t="str">
        <x:v>Inspect formulas on 12-Month Forecast.</x:v>
      </x:c>
    </x:row>
    <x:row r="11">
      <x:c r="A11" s="91" t="str">
        <x:v>Overall model status</x:v>
      </x:c>
      <x:c r="B11" s="91" t="str">
        <x:f>IF(COUNTIF(E5:E9,"CHECK")=0,"OK","CHECK")</x:f>
        <x:v>OK</x:v>
      </x:c>
    </x:row>
  </x:sheetData>
  <x:mergeCells>
    <x:mergeCell ref="A1:F1"/>
    <x:mergeCell ref="A2:F2"/>
  </x:mergeCells>
  <x:conditionalFormatting sqref="E5:E9">
    <x:cfRule type="containsText" dxfId="0" priority="1" operator="containsText" text="OK"/>
    <x:cfRule type="containsText" dxfId="1" priority="2" operator="containsText" text="CHECK"/>
  </x:conditionalFormatting>
  <x:conditionalFormatting sqref="B11:B11">
    <x:cfRule type="containsText" dxfId="2" priority="3" operator="containsText" text="OK"/>
    <x:cfRule type="containsText" dxfId="3" priority="4" operator="containsText" text="CHECK"/>
  </x:conditionalFormatting>
  <x:pageMargins left="0.7" right="0.7" top="0.75" bottom="0.75" header="0.3" footer="0.3"/>
</x:worksheet>
</file>